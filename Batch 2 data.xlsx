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BA\Walsh MS\MS Term 3\QM 640, Capstone Project\Data collation and compilation\"/>
    </mc:Choice>
  </mc:AlternateContent>
  <xr:revisionPtr revIDLastSave="0" documentId="13_ncr:1_{F17694C7-2166-4BB4-92DC-D29B8EAE7F71}" xr6:coauthVersionLast="47" xr6:coauthVersionMax="47" xr10:uidLastSave="{00000000-0000-0000-0000-000000000000}"/>
  <bookViews>
    <workbookView xWindow="-108" yWindow="-108" windowWidth="23256" windowHeight="14616" activeTab="1" xr2:uid="{78CCAE66-1AAA-4284-A4D4-654A8AA29E88}"/>
  </bookViews>
  <sheets>
    <sheet name="Batch 2, Raw data" sheetId="1" r:id="rId1"/>
    <sheet name="Variable Dat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3" l="1"/>
  <c r="K9" i="3"/>
  <c r="K10" i="3"/>
  <c r="K11" i="3"/>
  <c r="K12" i="3"/>
  <c r="K13" i="3"/>
  <c r="K14" i="3"/>
  <c r="K15" i="3"/>
  <c r="K16" i="3"/>
  <c r="K17" i="3"/>
  <c r="K18" i="3"/>
  <c r="K19" i="3"/>
  <c r="K20" i="3"/>
  <c r="K21" i="3"/>
  <c r="K22" i="3"/>
  <c r="K23" i="3"/>
  <c r="K24" i="3"/>
  <c r="K25" i="3"/>
  <c r="K26" i="3"/>
  <c r="K27" i="3"/>
  <c r="K28" i="3"/>
  <c r="K29" i="3"/>
  <c r="K30" i="3"/>
  <c r="K31" i="3"/>
  <c r="J8" i="3"/>
  <c r="J9" i="3"/>
  <c r="J10" i="3"/>
  <c r="J11" i="3"/>
  <c r="J12" i="3"/>
  <c r="J13" i="3"/>
  <c r="J14" i="3"/>
  <c r="J15" i="3"/>
  <c r="J16" i="3"/>
  <c r="J17" i="3"/>
  <c r="J18" i="3"/>
  <c r="J19" i="3"/>
  <c r="J20" i="3"/>
  <c r="J21" i="3"/>
  <c r="J22" i="3"/>
  <c r="J23" i="3"/>
  <c r="J24" i="3"/>
  <c r="J25" i="3"/>
  <c r="J26" i="3"/>
  <c r="J27" i="3"/>
  <c r="J28" i="3"/>
  <c r="J29" i="3"/>
  <c r="J30" i="3"/>
  <c r="J31" i="3"/>
  <c r="K7" i="3"/>
  <c r="J7" i="3"/>
  <c r="I8" i="3"/>
  <c r="I9" i="3"/>
  <c r="I10" i="3"/>
  <c r="I11" i="3"/>
  <c r="I12" i="3"/>
  <c r="I13" i="3"/>
  <c r="I14" i="3"/>
  <c r="I15" i="3"/>
  <c r="I16" i="3"/>
  <c r="I17" i="3"/>
  <c r="I18" i="3"/>
  <c r="I19" i="3"/>
  <c r="I20" i="3"/>
  <c r="I21" i="3"/>
  <c r="I22" i="3"/>
  <c r="I23" i="3"/>
  <c r="I24" i="3"/>
  <c r="I25" i="3"/>
  <c r="I26" i="3"/>
  <c r="I27" i="3"/>
  <c r="I28" i="3"/>
  <c r="I29" i="3"/>
  <c r="I30" i="3"/>
  <c r="I31" i="3"/>
  <c r="I7" i="3"/>
  <c r="AC7" i="1"/>
  <c r="AC8" i="1"/>
  <c r="AC9" i="1"/>
  <c r="AC10" i="1"/>
  <c r="AC11" i="1"/>
  <c r="AC12" i="1"/>
  <c r="AC13" i="1"/>
  <c r="AC14" i="1"/>
  <c r="AC15" i="1"/>
  <c r="AC16" i="1"/>
  <c r="AC17" i="1"/>
  <c r="AC18" i="1"/>
  <c r="AC19" i="1"/>
  <c r="AC20" i="1"/>
  <c r="AC21" i="1"/>
  <c r="AC22" i="1"/>
  <c r="AC23" i="1"/>
  <c r="AC24" i="1"/>
  <c r="AC25" i="1"/>
  <c r="AC26" i="1"/>
  <c r="AC27" i="1"/>
  <c r="AC28" i="1"/>
  <c r="AC29" i="1"/>
  <c r="AC30" i="1"/>
  <c r="AC6" i="1"/>
  <c r="H8" i="3"/>
  <c r="H9" i="3"/>
  <c r="H10" i="3"/>
  <c r="H11" i="3"/>
  <c r="H12" i="3"/>
  <c r="H13" i="3"/>
  <c r="H14" i="3"/>
  <c r="H15" i="3"/>
  <c r="H16" i="3"/>
  <c r="H17" i="3"/>
  <c r="H18" i="3"/>
  <c r="H19" i="3"/>
  <c r="H20" i="3"/>
  <c r="H21" i="3"/>
  <c r="H22" i="3"/>
  <c r="H23" i="3"/>
  <c r="H24" i="3"/>
  <c r="H25" i="3"/>
  <c r="H26" i="3"/>
  <c r="H27" i="3"/>
  <c r="H28" i="3"/>
  <c r="H29" i="3"/>
  <c r="H30" i="3"/>
  <c r="H31" i="3"/>
  <c r="H7" i="3"/>
  <c r="Z24" i="1"/>
  <c r="L60" i="1"/>
  <c r="M60" i="1" s="1"/>
  <c r="L59" i="1"/>
  <c r="M59" i="1" s="1"/>
  <c r="L58" i="1"/>
  <c r="M58" i="1" s="1"/>
  <c r="L57" i="1"/>
  <c r="M57" i="1" s="1"/>
  <c r="L56" i="1"/>
  <c r="M56" i="1"/>
  <c r="I56" i="1"/>
  <c r="I57" i="1"/>
  <c r="I58" i="1"/>
  <c r="I59" i="1"/>
  <c r="I60" i="1"/>
  <c r="AA26" i="1"/>
  <c r="AA27" i="1"/>
  <c r="AA28" i="1"/>
  <c r="AA29" i="1"/>
  <c r="AA30" i="1"/>
  <c r="Z26" i="1"/>
  <c r="Z27" i="1"/>
  <c r="Z28" i="1"/>
  <c r="Z29" i="1"/>
  <c r="Z30" i="1"/>
  <c r="W30" i="1"/>
  <c r="W29" i="1"/>
  <c r="W28" i="1"/>
  <c r="W27" i="1"/>
  <c r="W26" i="1"/>
  <c r="U26" i="1"/>
  <c r="U27" i="1"/>
  <c r="U28" i="1"/>
  <c r="U29" i="1"/>
  <c r="U30" i="1"/>
  <c r="T26" i="1"/>
  <c r="T27" i="1"/>
  <c r="T28" i="1"/>
  <c r="T29" i="1"/>
  <c r="T30" i="1"/>
  <c r="S26" i="1"/>
  <c r="S27" i="1"/>
  <c r="S28" i="1"/>
  <c r="S29" i="1"/>
  <c r="S30" i="1"/>
  <c r="R26" i="1"/>
  <c r="R27" i="1"/>
  <c r="R28" i="1"/>
  <c r="R29" i="1"/>
  <c r="R30" i="1"/>
  <c r="L26" i="1"/>
  <c r="L27" i="1"/>
  <c r="L28" i="1"/>
  <c r="L29" i="1"/>
  <c r="L30" i="1"/>
  <c r="F27" i="1"/>
  <c r="F28" i="1"/>
  <c r="F29" i="1"/>
  <c r="F26" i="1"/>
  <c r="L55" i="1"/>
  <c r="L54" i="1"/>
  <c r="L53" i="1"/>
  <c r="L52" i="1"/>
  <c r="L51" i="1"/>
  <c r="I51" i="1"/>
  <c r="I52" i="1"/>
  <c r="I53" i="1"/>
  <c r="I54" i="1"/>
  <c r="M54" i="1" s="1"/>
  <c r="I55" i="1"/>
  <c r="Z21" i="1"/>
  <c r="Z22" i="1"/>
  <c r="Z23" i="1"/>
  <c r="Z25" i="1"/>
  <c r="R21" i="1"/>
  <c r="W21" i="1" s="1"/>
  <c r="R22" i="1"/>
  <c r="W22" i="1" s="1"/>
  <c r="R23" i="1"/>
  <c r="W23" i="1" s="1"/>
  <c r="R24" i="1"/>
  <c r="W24" i="1" s="1"/>
  <c r="R25" i="1"/>
  <c r="W25" i="1" s="1"/>
  <c r="L21" i="1"/>
  <c r="L22" i="1"/>
  <c r="L23" i="1"/>
  <c r="L24" i="1"/>
  <c r="L25" i="1"/>
  <c r="F22" i="1"/>
  <c r="F23" i="1"/>
  <c r="F24" i="1"/>
  <c r="F21" i="1"/>
  <c r="L46" i="1"/>
  <c r="L47" i="1"/>
  <c r="L48" i="1"/>
  <c r="L49" i="1"/>
  <c r="L50" i="1"/>
  <c r="I46" i="1"/>
  <c r="M46" i="1" s="1"/>
  <c r="I47" i="1"/>
  <c r="M47" i="1" s="1"/>
  <c r="I48" i="1"/>
  <c r="M48" i="1" s="1"/>
  <c r="I49" i="1"/>
  <c r="I50" i="1"/>
  <c r="Z16" i="1"/>
  <c r="Z17" i="1"/>
  <c r="Z18" i="1"/>
  <c r="Z19" i="1"/>
  <c r="Z20" i="1"/>
  <c r="R16" i="1"/>
  <c r="W16" i="1" s="1"/>
  <c r="R17" i="1"/>
  <c r="W17" i="1" s="1"/>
  <c r="R18" i="1"/>
  <c r="W18" i="1" s="1"/>
  <c r="R19" i="1"/>
  <c r="W19" i="1" s="1"/>
  <c r="R20" i="1"/>
  <c r="W20" i="1" s="1"/>
  <c r="L16" i="1"/>
  <c r="L17" i="1"/>
  <c r="L18" i="1"/>
  <c r="L19" i="1"/>
  <c r="L20" i="1"/>
  <c r="F17" i="1"/>
  <c r="F18" i="1"/>
  <c r="F19" i="1"/>
  <c r="F16" i="1"/>
  <c r="F12" i="1"/>
  <c r="F13" i="1"/>
  <c r="F14" i="1"/>
  <c r="L41" i="1"/>
  <c r="L42" i="1"/>
  <c r="L43" i="1"/>
  <c r="L44" i="1"/>
  <c r="L45" i="1"/>
  <c r="I41" i="1"/>
  <c r="I42" i="1"/>
  <c r="I43" i="1"/>
  <c r="I44" i="1"/>
  <c r="I45" i="1"/>
  <c r="Z11" i="1"/>
  <c r="Z12" i="1"/>
  <c r="Z13" i="1"/>
  <c r="Z14" i="1"/>
  <c r="Z15" i="1"/>
  <c r="R11" i="1"/>
  <c r="W11" i="1" s="1"/>
  <c r="R12" i="1"/>
  <c r="W12" i="1" s="1"/>
  <c r="R13" i="1"/>
  <c r="W13" i="1" s="1"/>
  <c r="R14" i="1"/>
  <c r="W14" i="1" s="1"/>
  <c r="R15" i="1"/>
  <c r="L11" i="1"/>
  <c r="L12" i="1"/>
  <c r="L13" i="1"/>
  <c r="L14" i="1"/>
  <c r="L15" i="1"/>
  <c r="F11" i="1"/>
  <c r="L37" i="1"/>
  <c r="L38" i="1"/>
  <c r="L39" i="1"/>
  <c r="L40" i="1"/>
  <c r="L36" i="1"/>
  <c r="I37" i="1"/>
  <c r="I38" i="1"/>
  <c r="I39" i="1"/>
  <c r="I40" i="1"/>
  <c r="I36" i="1"/>
  <c r="S23" i="1" l="1"/>
  <c r="T16" i="1"/>
  <c r="AA20" i="1"/>
  <c r="S25" i="1"/>
  <c r="AA19" i="1"/>
  <c r="S24" i="1"/>
  <c r="AA18" i="1"/>
  <c r="T23" i="1"/>
  <c r="T24" i="1"/>
  <c r="T18" i="1"/>
  <c r="U23" i="1"/>
  <c r="T25" i="1"/>
  <c r="T17" i="1"/>
  <c r="AA25" i="1"/>
  <c r="U25" i="1"/>
  <c r="U24" i="1"/>
  <c r="AA24" i="1"/>
  <c r="AA17" i="1"/>
  <c r="AA23" i="1"/>
  <c r="M50" i="1"/>
  <c r="M49" i="1"/>
  <c r="AA22" i="1"/>
  <c r="AA21" i="1"/>
  <c r="AA16" i="1"/>
  <c r="S22" i="1"/>
  <c r="S21" i="1"/>
  <c r="S20" i="1"/>
  <c r="S19" i="1"/>
  <c r="S18" i="1"/>
  <c r="T22" i="1"/>
  <c r="S17" i="1"/>
  <c r="T21" i="1"/>
  <c r="S16" i="1"/>
  <c r="U16" i="1" s="1"/>
  <c r="T20" i="1"/>
  <c r="M51" i="1"/>
  <c r="T19" i="1"/>
  <c r="M52" i="1"/>
  <c r="M53" i="1"/>
  <c r="M55" i="1"/>
  <c r="AA13" i="1"/>
  <c r="M42" i="1"/>
  <c r="M45" i="1"/>
  <c r="M41" i="1"/>
  <c r="M44" i="1"/>
  <c r="T15" i="1"/>
  <c r="M43" i="1"/>
  <c r="W15" i="1"/>
  <c r="AA15" i="1" s="1"/>
  <c r="S15" i="1"/>
  <c r="T14" i="1"/>
  <c r="S13" i="1"/>
  <c r="T12" i="1"/>
  <c r="AA14" i="1"/>
  <c r="AA12" i="1"/>
  <c r="AA11" i="1"/>
  <c r="S14" i="1"/>
  <c r="T13" i="1"/>
  <c r="T11" i="1"/>
  <c r="S12" i="1"/>
  <c r="S11" i="1"/>
  <c r="U11" i="1" s="1"/>
  <c r="M36" i="1"/>
  <c r="M40" i="1"/>
  <c r="M39" i="1"/>
  <c r="M38" i="1"/>
  <c r="M37" i="1"/>
  <c r="U18" i="1" l="1"/>
  <c r="U17" i="1"/>
  <c r="U21" i="1"/>
  <c r="U20" i="1"/>
  <c r="U19" i="1"/>
  <c r="U22" i="1"/>
  <c r="U15" i="1"/>
  <c r="U12" i="1"/>
  <c r="U13" i="1"/>
  <c r="U14" i="1"/>
  <c r="Z7" i="1"/>
  <c r="Z8" i="1"/>
  <c r="Z9" i="1"/>
  <c r="Z10" i="1"/>
  <c r="Z6" i="1"/>
  <c r="R7" i="1"/>
  <c r="W7" i="1" s="1"/>
  <c r="R8" i="1"/>
  <c r="W8" i="1" s="1"/>
  <c r="R9" i="1"/>
  <c r="W9" i="1" s="1"/>
  <c r="R10" i="1"/>
  <c r="W10" i="1" s="1"/>
  <c r="R6" i="1"/>
  <c r="W6" i="1" s="1"/>
  <c r="L7" i="1"/>
  <c r="L8" i="1"/>
  <c r="L9" i="1"/>
  <c r="L10" i="1"/>
  <c r="L6" i="1"/>
  <c r="F7" i="1"/>
  <c r="F8" i="1"/>
  <c r="F9" i="1"/>
  <c r="F6" i="1"/>
  <c r="S6" i="1" l="1"/>
  <c r="T10" i="1"/>
  <c r="AA7" i="1"/>
  <c r="T9" i="1"/>
  <c r="AA8" i="1"/>
  <c r="AA6" i="1"/>
  <c r="AA10" i="1"/>
  <c r="AA9" i="1"/>
  <c r="S10" i="1"/>
  <c r="S9" i="1"/>
  <c r="T6" i="1"/>
  <c r="U6" i="1" s="1"/>
  <c r="S8" i="1"/>
  <c r="S7" i="1"/>
  <c r="T8" i="1"/>
  <c r="T7" i="1"/>
  <c r="U10" i="1" l="1"/>
  <c r="U9" i="1"/>
  <c r="U7" i="1"/>
  <c r="U8" i="1"/>
</calcChain>
</file>

<file path=xl/sharedStrings.xml><?xml version="1.0" encoding="utf-8"?>
<sst xmlns="http://schemas.openxmlformats.org/spreadsheetml/2006/main" count="274" uniqueCount="165">
  <si>
    <t>N</t>
  </si>
  <si>
    <t>Company Name</t>
  </si>
  <si>
    <t>BSE No/ NSE</t>
  </si>
  <si>
    <t>Year End</t>
  </si>
  <si>
    <t>Revenue</t>
  </si>
  <si>
    <t>Revenue Growth Rate in %</t>
  </si>
  <si>
    <t>Inventories</t>
  </si>
  <si>
    <t>Trade Receivables</t>
  </si>
  <si>
    <t>Cash Equivalents</t>
  </si>
  <si>
    <t>Loans &amp; Advances</t>
  </si>
  <si>
    <t>Other Asset Items</t>
  </si>
  <si>
    <t>Total Current Assets</t>
  </si>
  <si>
    <t>Trade Payables</t>
  </si>
  <si>
    <t>Advance from Customers</t>
  </si>
  <si>
    <t>Other Liability Items</t>
  </si>
  <si>
    <t>Short‑term Borrowings</t>
  </si>
  <si>
    <t>Lease Liabilities</t>
  </si>
  <si>
    <t>Total Current Liabilities</t>
  </si>
  <si>
    <t>Current Ratio</t>
  </si>
  <si>
    <t>Quick Ratio</t>
  </si>
  <si>
    <t>Liquidity Index</t>
  </si>
  <si>
    <t>Total assets</t>
  </si>
  <si>
    <t>Capital Employed</t>
  </si>
  <si>
    <t>Operating Profit</t>
  </si>
  <si>
    <t>Other Income (normal)</t>
  </si>
  <si>
    <t>EBIT</t>
  </si>
  <si>
    <t>ROCE%</t>
  </si>
  <si>
    <t>D/E Ratio</t>
  </si>
  <si>
    <t>Interaction LI*D/E</t>
  </si>
  <si>
    <t>Hindustan Hardy Ltd</t>
  </si>
  <si>
    <t>Long‑term Borrowings</t>
  </si>
  <si>
    <t>Other Borrowings</t>
  </si>
  <si>
    <t>Total Debt</t>
  </si>
  <si>
    <t>Equity Capital</t>
  </si>
  <si>
    <t>Reserves</t>
  </si>
  <si>
    <t>Total Equity</t>
  </si>
  <si>
    <t>Table 2: D/E</t>
  </si>
  <si>
    <t>Table 1: Financial Data and Computed Variables</t>
  </si>
  <si>
    <t>Veljan Denison Ltd</t>
  </si>
  <si>
    <t>BSE No / NSE</t>
  </si>
  <si>
    <t>IST Ltd</t>
  </si>
  <si>
    <t>G G Automotive Gears Ltd</t>
  </si>
  <si>
    <t>INE0MJQ01020</t>
  </si>
  <si>
    <t>INE0MJQ01021</t>
  </si>
  <si>
    <t>INE0MJQ01022</t>
  </si>
  <si>
    <t>INE0MJQ01023</t>
  </si>
  <si>
    <t>INE0MJQ01024</t>
  </si>
  <si>
    <t>Pritika Engineering Components Limited</t>
  </si>
  <si>
    <t>Dependant Variable</t>
  </si>
  <si>
    <t>Independent (Predictor) Variables</t>
  </si>
  <si>
    <t>LI</t>
  </si>
  <si>
    <t>D/E</t>
  </si>
  <si>
    <t>Main Effects</t>
  </si>
  <si>
    <t>3 Way Interaction</t>
  </si>
  <si>
    <t>2 way Interactions</t>
  </si>
  <si>
    <t>LI*D/E</t>
  </si>
  <si>
    <t>Revenue Growth %</t>
  </si>
  <si>
    <t>LI*Revenue Growth %</t>
  </si>
  <si>
    <t>D/E*Revenue Growth %</t>
  </si>
  <si>
    <t>LI*D/E*Revenue Growth %</t>
  </si>
  <si>
    <t>Batch 2 data</t>
  </si>
  <si>
    <t>Interpretation</t>
  </si>
  <si>
    <r>
      <t xml:space="preserve">Most firms cluster between </t>
    </r>
    <r>
      <rPr>
        <b/>
        <sz val="11"/>
        <color theme="1"/>
        <rFont val="Aptos Narrow"/>
        <family val="2"/>
        <scheme val="minor"/>
      </rPr>
      <t>10% and 30% ROCE</t>
    </r>
    <r>
      <rPr>
        <sz val="11"/>
        <color theme="1"/>
        <rFont val="Aptos Narrow"/>
        <family val="2"/>
        <scheme val="minor"/>
      </rPr>
      <t>.</t>
    </r>
  </si>
  <si>
    <r>
      <t xml:space="preserve">The KDE curve peaks around </t>
    </r>
    <r>
      <rPr>
        <b/>
        <sz val="11"/>
        <color theme="1"/>
        <rFont val="Aptos Narrow"/>
        <family val="2"/>
        <scheme val="minor"/>
      </rPr>
      <t>15–20%</t>
    </r>
    <r>
      <rPr>
        <sz val="11"/>
        <color theme="1"/>
        <rFont val="Aptos Narrow"/>
        <family val="2"/>
        <scheme val="minor"/>
      </rPr>
      <t>, showing the median zone.</t>
    </r>
  </si>
  <si>
    <r>
      <t xml:space="preserve">A few outliers extend up to </t>
    </r>
    <r>
      <rPr>
        <b/>
        <sz val="11"/>
        <color theme="1"/>
        <rFont val="Aptos Narrow"/>
        <family val="2"/>
        <scheme val="minor"/>
      </rPr>
      <t>40%</t>
    </r>
    <r>
      <rPr>
        <sz val="11"/>
        <color theme="1"/>
        <rFont val="Aptos Narrow"/>
        <family val="2"/>
        <scheme val="minor"/>
      </rPr>
      <t>, giving the distribution a slight right skew.</t>
    </r>
  </si>
  <si>
    <r>
      <t xml:space="preserve">The distribution is </t>
    </r>
    <r>
      <rPr>
        <b/>
        <sz val="11"/>
        <color theme="1"/>
        <rFont val="Aptos Narrow"/>
        <family val="2"/>
        <scheme val="minor"/>
      </rPr>
      <t>bimodal</t>
    </r>
    <r>
      <rPr>
        <sz val="11"/>
        <color theme="1"/>
        <rFont val="Aptos Narrow"/>
        <family val="2"/>
        <scheme val="minor"/>
      </rPr>
      <t>:</t>
    </r>
  </si>
  <si>
    <r>
      <t xml:space="preserve">One cluster around </t>
    </r>
    <r>
      <rPr>
        <b/>
        <sz val="11"/>
        <color theme="1"/>
        <rFont val="Aptos Narrow"/>
        <family val="2"/>
        <scheme val="minor"/>
      </rPr>
      <t>0.5–1.5</t>
    </r>
    <r>
      <rPr>
        <sz val="11"/>
        <color theme="1"/>
        <rFont val="Aptos Narrow"/>
        <family val="2"/>
        <scheme val="minor"/>
      </rPr>
      <t>, representing firms with moderate leverage.</t>
    </r>
  </si>
  <si>
    <r>
      <t xml:space="preserve">Another around </t>
    </r>
    <r>
      <rPr>
        <b/>
        <sz val="11"/>
        <color theme="1"/>
        <rFont val="Aptos Narrow"/>
        <family val="2"/>
        <scheme val="minor"/>
      </rPr>
      <t>3.0–3.5</t>
    </r>
    <r>
      <rPr>
        <sz val="11"/>
        <color theme="1"/>
        <rFont val="Aptos Narrow"/>
        <family val="2"/>
        <scheme val="minor"/>
      </rPr>
      <t>, indicating highly leveraged firms.</t>
    </r>
  </si>
  <si>
    <r>
      <t xml:space="preserve">The KDE curve clearly shows </t>
    </r>
    <r>
      <rPr>
        <b/>
        <sz val="11"/>
        <color theme="1"/>
        <rFont val="Aptos Narrow"/>
        <family val="2"/>
        <scheme val="minor"/>
      </rPr>
      <t>two peaks</t>
    </r>
    <r>
      <rPr>
        <sz val="11"/>
        <color theme="1"/>
        <rFont val="Aptos Narrow"/>
        <family val="2"/>
        <scheme val="minor"/>
      </rPr>
      <t>, suggesting distinct leverage regimes in our dataset.</t>
    </r>
  </si>
  <si>
    <r>
      <t xml:space="preserve">The distribution is </t>
    </r>
    <r>
      <rPr>
        <b/>
        <sz val="11"/>
        <color theme="1"/>
        <rFont val="Aptos Narrow"/>
        <family val="2"/>
        <scheme val="minor"/>
      </rPr>
      <t>strongly right-skewed</t>
    </r>
    <r>
      <rPr>
        <sz val="11"/>
        <color theme="1"/>
        <rFont val="Aptos Narrow"/>
        <family val="2"/>
        <scheme val="minor"/>
      </rPr>
      <t>:</t>
    </r>
  </si>
  <si>
    <r>
      <t xml:space="preserve">Most firms have D/E ratios between </t>
    </r>
    <r>
      <rPr>
        <b/>
        <sz val="11"/>
        <color theme="1"/>
        <rFont val="Aptos Narrow"/>
        <family val="2"/>
        <scheme val="minor"/>
      </rPr>
      <t>0.0 and 0.2</t>
    </r>
    <r>
      <rPr>
        <sz val="11"/>
        <color theme="1"/>
        <rFont val="Aptos Narrow"/>
        <family val="2"/>
        <scheme val="minor"/>
      </rPr>
      <t>, with a sharp peak in that range.</t>
    </r>
  </si>
  <si>
    <r>
      <t xml:space="preserve">A few firms extend up to </t>
    </r>
    <r>
      <rPr>
        <b/>
        <sz val="11"/>
        <color theme="1"/>
        <rFont val="Aptos Narrow"/>
        <family val="2"/>
        <scheme val="minor"/>
      </rPr>
      <t>1.69</t>
    </r>
    <r>
      <rPr>
        <sz val="11"/>
        <color theme="1"/>
        <rFont val="Aptos Narrow"/>
        <family val="2"/>
        <scheme val="minor"/>
      </rPr>
      <t>, but these are rare.</t>
    </r>
  </si>
  <si>
    <r>
      <t xml:space="preserve">The KDE curve confirms a </t>
    </r>
    <r>
      <rPr>
        <b/>
        <sz val="11"/>
        <color theme="1"/>
        <rFont val="Aptos Narrow"/>
        <family val="2"/>
        <scheme val="minor"/>
      </rPr>
      <t>steep drop-off</t>
    </r>
    <r>
      <rPr>
        <sz val="11"/>
        <color theme="1"/>
        <rFont val="Aptos Narrow"/>
        <family val="2"/>
        <scheme val="minor"/>
      </rPr>
      <t>, indicating that most firms operate with low debt relative to equity.</t>
    </r>
  </si>
  <si>
    <r>
      <t xml:space="preserve">The distribution spans from </t>
    </r>
    <r>
      <rPr>
        <b/>
        <sz val="11"/>
        <color theme="1"/>
        <rFont val="Aptos Narrow"/>
        <family val="2"/>
        <scheme val="minor"/>
      </rPr>
      <t>-46% to +68%</t>
    </r>
    <r>
      <rPr>
        <sz val="11"/>
        <color theme="1"/>
        <rFont val="Aptos Narrow"/>
        <family val="2"/>
        <scheme val="minor"/>
      </rPr>
      <t>, showing high volatility.</t>
    </r>
  </si>
  <si>
    <r>
      <t xml:space="preserve">Most firms cluster between </t>
    </r>
    <r>
      <rPr>
        <b/>
        <sz val="11"/>
        <color theme="1"/>
        <rFont val="Aptos Narrow"/>
        <family val="2"/>
        <scheme val="minor"/>
      </rPr>
      <t>0% and 30%</t>
    </r>
    <r>
      <rPr>
        <sz val="11"/>
        <color theme="1"/>
        <rFont val="Aptos Narrow"/>
        <family val="2"/>
        <scheme val="minor"/>
      </rPr>
      <t xml:space="preserve">, with a peak around </t>
    </r>
    <r>
      <rPr>
        <b/>
        <sz val="11"/>
        <color theme="1"/>
        <rFont val="Aptos Narrow"/>
        <family val="2"/>
        <scheme val="minor"/>
      </rPr>
      <t>10%</t>
    </r>
    <r>
      <rPr>
        <sz val="11"/>
        <color theme="1"/>
        <rFont val="Aptos Narrow"/>
        <family val="2"/>
        <scheme val="minor"/>
      </rPr>
      <t>.</t>
    </r>
  </si>
  <si>
    <r>
      <t xml:space="preserve">The KDE curve reveals </t>
    </r>
    <r>
      <rPr>
        <b/>
        <sz val="11"/>
        <color theme="1"/>
        <rFont val="Aptos Narrow"/>
        <family val="2"/>
        <scheme val="minor"/>
      </rPr>
      <t>heavy tails</t>
    </r>
    <r>
      <rPr>
        <sz val="11"/>
        <color theme="1"/>
        <rFont val="Aptos Narrow"/>
        <family val="2"/>
        <scheme val="minor"/>
      </rPr>
      <t>, indicating both strong growth and sharp declines.</t>
    </r>
  </si>
  <si>
    <r>
      <t xml:space="preserve">A secondary peak near </t>
    </r>
    <r>
      <rPr>
        <b/>
        <sz val="11"/>
        <color theme="1"/>
        <rFont val="Aptos Narrow"/>
        <family val="2"/>
        <scheme val="minor"/>
      </rPr>
      <t>50%</t>
    </r>
    <r>
      <rPr>
        <sz val="11"/>
        <color theme="1"/>
        <rFont val="Aptos Narrow"/>
        <family val="2"/>
        <scheme val="minor"/>
      </rPr>
      <t xml:space="preserve"> suggests a few firms with exceptional growth.</t>
    </r>
  </si>
  <si>
    <t>2 way interaction variables</t>
  </si>
  <si>
    <r>
      <t xml:space="preserve">Most values cluster between </t>
    </r>
    <r>
      <rPr>
        <b/>
        <sz val="11"/>
        <color theme="1"/>
        <rFont val="Aptos Narrow"/>
        <family val="2"/>
        <scheme val="minor"/>
      </rPr>
      <t>0.0 and 0.5</t>
    </r>
    <r>
      <rPr>
        <sz val="11"/>
        <color theme="1"/>
        <rFont val="Aptos Narrow"/>
        <family val="2"/>
        <scheme val="minor"/>
      </rPr>
      <t>, with a sharp peak in that range.</t>
    </r>
  </si>
  <si>
    <r>
      <t xml:space="preserve">The KDE curve shows a steep rise and gradual decline, indicating a </t>
    </r>
    <r>
      <rPr>
        <b/>
        <sz val="11"/>
        <color theme="1"/>
        <rFont val="Aptos Narrow"/>
        <family val="2"/>
        <scheme val="minor"/>
      </rPr>
      <t>right-skewed distribution</t>
    </r>
    <r>
      <rPr>
        <sz val="11"/>
        <color theme="1"/>
        <rFont val="Aptos Narrow"/>
        <family val="2"/>
        <scheme val="minor"/>
      </rPr>
      <t>.</t>
    </r>
  </si>
  <si>
    <r>
      <t xml:space="preserve">A few outliers extend beyond </t>
    </r>
    <r>
      <rPr>
        <b/>
        <sz val="11"/>
        <color theme="1"/>
        <rFont val="Aptos Narrow"/>
        <family val="2"/>
        <scheme val="minor"/>
      </rPr>
      <t>2.5</t>
    </r>
    <r>
      <rPr>
        <sz val="11"/>
        <color theme="1"/>
        <rFont val="Aptos Narrow"/>
        <family val="2"/>
        <scheme val="minor"/>
      </rPr>
      <t>, but they’re rare.</t>
    </r>
  </si>
  <si>
    <r>
      <t xml:space="preserve">The distribution is </t>
    </r>
    <r>
      <rPr>
        <b/>
        <sz val="11"/>
        <color theme="1"/>
        <rFont val="Aptos Narrow"/>
        <family val="2"/>
        <scheme val="minor"/>
      </rPr>
      <t>long-tailed</t>
    </r>
    <r>
      <rPr>
        <sz val="11"/>
        <color theme="1"/>
        <rFont val="Aptos Narrow"/>
        <family val="2"/>
        <scheme val="minor"/>
      </rPr>
      <t xml:space="preserve">: most values cluster between </t>
    </r>
    <r>
      <rPr>
        <b/>
        <sz val="11"/>
        <color theme="1"/>
        <rFont val="Aptos Narrow"/>
        <family val="2"/>
        <scheme val="minor"/>
      </rPr>
      <t>-10% and +40%</t>
    </r>
    <r>
      <rPr>
        <sz val="11"/>
        <color theme="1"/>
        <rFont val="Aptos Narrow"/>
        <family val="2"/>
        <scheme val="minor"/>
      </rPr>
      <t>, but there are extreme outliers.</t>
    </r>
  </si>
  <si>
    <r>
      <t xml:space="preserve">The KDE curve peaks around </t>
    </r>
    <r>
      <rPr>
        <b/>
        <sz val="11"/>
        <color theme="1"/>
        <rFont val="Aptos Narrow"/>
        <family val="2"/>
        <scheme val="minor"/>
      </rPr>
      <t>10–20%</t>
    </r>
    <r>
      <rPr>
        <sz val="11"/>
        <color theme="1"/>
        <rFont val="Aptos Narrow"/>
        <family val="2"/>
        <scheme val="minor"/>
      </rPr>
      <t>, showing the central tendency.</t>
    </r>
  </si>
  <si>
    <t>Outliers extend both ways:</t>
  </si>
  <si>
    <r>
      <t xml:space="preserve">Negative side down to </t>
    </r>
    <r>
      <rPr>
        <b/>
        <sz val="11"/>
        <color theme="1"/>
        <rFont val="Aptos Narrow"/>
        <family val="2"/>
        <scheme val="minor"/>
      </rPr>
      <t>-50%</t>
    </r>
    <r>
      <rPr>
        <sz val="11"/>
        <color theme="1"/>
        <rFont val="Aptos Narrow"/>
        <family val="2"/>
        <scheme val="minor"/>
      </rPr>
      <t>, where leverage magnified revenue declines.</t>
    </r>
  </si>
  <si>
    <r>
      <t xml:space="preserve">Positive side up to </t>
    </r>
    <r>
      <rPr>
        <b/>
        <sz val="11"/>
        <color theme="1"/>
        <rFont val="Aptos Narrow"/>
        <family val="2"/>
        <scheme val="minor"/>
      </rPr>
      <t>120%</t>
    </r>
    <r>
      <rPr>
        <sz val="11"/>
        <color theme="1"/>
        <rFont val="Aptos Narrow"/>
        <family val="2"/>
        <scheme val="minor"/>
      </rPr>
      <t>, where leverage amplified strong growth.</t>
    </r>
  </si>
  <si>
    <r>
      <t xml:space="preserve">This confirms that LI × Revenue Growth % acts as a </t>
    </r>
    <r>
      <rPr>
        <b/>
        <sz val="11"/>
        <color theme="1"/>
        <rFont val="Aptos Narrow"/>
        <family val="2"/>
        <scheme val="minor"/>
      </rPr>
      <t>volatility amplifier</t>
    </r>
    <r>
      <rPr>
        <sz val="11"/>
        <color theme="1"/>
        <rFont val="Aptos Narrow"/>
        <family val="2"/>
        <scheme val="minor"/>
      </rPr>
      <t>, producing both sharp losses and outsized gains.</t>
    </r>
  </si>
  <si>
    <r>
      <t xml:space="preserve">The distribution is </t>
    </r>
    <r>
      <rPr>
        <b/>
        <sz val="11"/>
        <color theme="1"/>
        <rFont val="Aptos Narrow"/>
        <family val="2"/>
        <scheme val="minor"/>
      </rPr>
      <t>centered around -20% to +20%</t>
    </r>
    <r>
      <rPr>
        <sz val="11"/>
        <color theme="1"/>
        <rFont val="Aptos Narrow"/>
        <family val="2"/>
        <scheme val="minor"/>
      </rPr>
      <t xml:space="preserve">, with a peak near </t>
    </r>
    <r>
      <rPr>
        <b/>
        <sz val="11"/>
        <color theme="1"/>
        <rFont val="Aptos Narrow"/>
        <family val="2"/>
        <scheme val="minor"/>
      </rPr>
      <t>0%</t>
    </r>
    <r>
      <rPr>
        <sz val="11"/>
        <color theme="1"/>
        <rFont val="Aptos Narrow"/>
        <family val="2"/>
        <scheme val="minor"/>
      </rPr>
      <t>, indicating most firms have modest interaction between debt levels and growth.</t>
    </r>
  </si>
  <si>
    <r>
      <t xml:space="preserve">The KDE curve shows a </t>
    </r>
    <r>
      <rPr>
        <b/>
        <sz val="11"/>
        <color theme="1"/>
        <rFont val="Aptos Narrow"/>
        <family val="2"/>
        <scheme val="minor"/>
      </rPr>
      <t>sharp central peak</t>
    </r>
    <r>
      <rPr>
        <sz val="11"/>
        <color theme="1"/>
        <rFont val="Aptos Narrow"/>
        <family val="2"/>
        <scheme val="minor"/>
      </rPr>
      <t>, tapering off into both tails.</t>
    </r>
  </si>
  <si>
    <r>
      <t xml:space="preserve">Outliers stretch from </t>
    </r>
    <r>
      <rPr>
        <b/>
        <sz val="11"/>
        <color theme="1"/>
        <rFont val="Aptos Narrow"/>
        <family val="2"/>
        <scheme val="minor"/>
      </rPr>
      <t>-60% to +100%</t>
    </r>
    <r>
      <rPr>
        <sz val="11"/>
        <color theme="1"/>
        <rFont val="Aptos Narrow"/>
        <family val="2"/>
        <scheme val="minor"/>
      </rPr>
      <t>, confirming that high debt can amplify both gains and losses in revenue growth.</t>
    </r>
  </si>
  <si>
    <t>Consolidated Summary of ROCE Drivers and Interactions</t>
  </si>
  <si>
    <t>🟩 Dependent Variable: ROCE (%)</t>
  </si>
  <si>
    <r>
      <t>Distribution</t>
    </r>
    <r>
      <rPr>
        <sz val="11"/>
        <color theme="1"/>
        <rFont val="Aptos Narrow"/>
        <family val="2"/>
        <scheme val="minor"/>
      </rPr>
      <t xml:space="preserve">: Right-skewed, peaking around </t>
    </r>
    <r>
      <rPr>
        <b/>
        <sz val="11"/>
        <color theme="1"/>
        <rFont val="Aptos Narrow"/>
        <family val="2"/>
        <scheme val="minor"/>
      </rPr>
      <t>15–20%</t>
    </r>
    <r>
      <rPr>
        <sz val="11"/>
        <color theme="1"/>
        <rFont val="Aptos Narrow"/>
        <family val="2"/>
        <scheme val="minor"/>
      </rPr>
      <t>.</t>
    </r>
  </si>
  <si>
    <r>
      <t>Insight</t>
    </r>
    <r>
      <rPr>
        <sz val="11"/>
        <color theme="1"/>
        <rFont val="Aptos Narrow"/>
        <family val="2"/>
        <scheme val="minor"/>
      </rPr>
      <t xml:space="preserve">: Most firms operate with moderate ROCE; a few outperform with values above </t>
    </r>
    <r>
      <rPr>
        <b/>
        <sz val="11"/>
        <color theme="1"/>
        <rFont val="Aptos Narrow"/>
        <family val="2"/>
        <scheme val="minor"/>
      </rPr>
      <t>35%</t>
    </r>
    <r>
      <rPr>
        <sz val="11"/>
        <color theme="1"/>
        <rFont val="Aptos Narrow"/>
        <family val="2"/>
        <scheme val="minor"/>
      </rPr>
      <t>.</t>
    </r>
  </si>
  <si>
    <t>🔵 Main Effects</t>
  </si>
  <si>
    <t>Variable</t>
  </si>
  <si>
    <t>Distribution Shape</t>
  </si>
  <si>
    <t>Central Tendency</t>
  </si>
  <si>
    <t>Notable Features</t>
  </si>
  <si>
    <t>LI (Leverage Indicator)</t>
  </si>
  <si>
    <t>Bimodal</t>
  </si>
  <si>
    <t>Peaks at ~1 and ~3</t>
  </si>
  <si>
    <t>Indicates two leverage regimes: moderate vs high</t>
  </si>
  <si>
    <t>D/E (Debt-to-Equity)</t>
  </si>
  <si>
    <t>Strong right skew</t>
  </si>
  <si>
    <t>Peak near 0.1</t>
  </si>
  <si>
    <t>Most firms have low debt; few exceed 1.5</t>
  </si>
  <si>
    <t>Long-tailed, symmetric</t>
  </si>
  <si>
    <t>Peak near 10%</t>
  </si>
  <si>
    <t>Heavy tails from -46% to +68%</t>
  </si>
  <si>
    <t>🟠 Interaction Effects</t>
  </si>
  <si>
    <t>Interaction Term</t>
  </si>
  <si>
    <t>LI × D/E</t>
  </si>
  <si>
    <t>Right-skewed</t>
  </si>
  <si>
    <t>Peak near 0.3</t>
  </si>
  <si>
    <t>Amplifies leverage exposure; most firms cluster low</t>
  </si>
  <si>
    <t>LI × Revenue Growth %</t>
  </si>
  <si>
    <t>Long-tailed, asymmetric</t>
  </si>
  <si>
    <t>Peak near 10–15%</t>
  </si>
  <si>
    <t>Leverage magnifies growth volatility (range: -50% to +120%)</t>
  </si>
  <si>
    <t>D/E × Revenue Growth %</t>
  </si>
  <si>
    <t>Bell-shaped, symmetric</t>
  </si>
  <si>
    <t>Peak near 0%</t>
  </si>
  <si>
    <t>Most firms show modest interaction; tails show amplified effects</t>
  </si>
  <si>
    <t>🎯 Dependent Variable: ROCE (%)</t>
  </si>
  <si>
    <r>
      <t>Distribution</t>
    </r>
    <r>
      <rPr>
        <sz val="11"/>
        <color theme="1"/>
        <rFont val="Aptos Narrow"/>
        <family val="2"/>
        <scheme val="minor"/>
      </rPr>
      <t>: Right-skewed, peaking around 15–20%.</t>
    </r>
  </si>
  <si>
    <r>
      <t>Insight</t>
    </r>
    <r>
      <rPr>
        <sz val="11"/>
        <color theme="1"/>
        <rFont val="Aptos Narrow"/>
        <family val="2"/>
        <scheme val="minor"/>
      </rPr>
      <t>: Most firms operate with moderate ROCE; a few outperform with values above 35%.</t>
    </r>
  </si>
  <si>
    <t>🔺 3-Way Interaction: LI × D/E × Revenue Growth %</t>
  </si>
  <si>
    <t>🔄 Combined Effects</t>
  </si>
  <si>
    <r>
      <t>High Risk Zone</t>
    </r>
    <r>
      <rPr>
        <sz val="11"/>
        <color theme="1"/>
        <rFont val="Aptos Narrow"/>
        <family val="2"/>
        <scheme val="minor"/>
      </rPr>
      <t>: All three factors are high — potential for extreme ROCE outcomes.</t>
    </r>
  </si>
  <si>
    <r>
      <t>Volatility</t>
    </r>
    <r>
      <rPr>
        <sz val="11"/>
        <color theme="1"/>
        <rFont val="Aptos Narrow"/>
        <family val="2"/>
        <scheme val="minor"/>
      </rPr>
      <t>: High LI + High Growth — leverage amplifies gains/losses.</t>
    </r>
  </si>
  <si>
    <r>
      <t>Debt Burden</t>
    </r>
    <r>
      <rPr>
        <sz val="11"/>
        <color theme="1"/>
        <rFont val="Aptos Narrow"/>
        <family val="2"/>
        <scheme val="minor"/>
      </rPr>
      <t>: High LI + High D/E — financial fragility.</t>
    </r>
  </si>
  <si>
    <r>
      <t>Rapid Growth</t>
    </r>
    <r>
      <rPr>
        <sz val="11"/>
        <color theme="1"/>
        <rFont val="Aptos Narrow"/>
        <family val="2"/>
        <scheme val="minor"/>
      </rPr>
      <t>: High D/E + High Growth — aggressive expansion.</t>
    </r>
  </si>
  <si>
    <t>📈 ROCE Impact</t>
  </si>
  <si>
    <r>
      <t>Big Gains</t>
    </r>
    <r>
      <rPr>
        <sz val="11"/>
        <color theme="1"/>
        <rFont val="Aptos Narrow"/>
        <family val="2"/>
        <scheme val="minor"/>
      </rPr>
      <t>: When leverage and growth align favorably.</t>
    </r>
  </si>
  <si>
    <r>
      <t>Heavy Losses</t>
    </r>
    <r>
      <rPr>
        <sz val="11"/>
        <color theme="1"/>
        <rFont val="Aptos Narrow"/>
        <family val="2"/>
        <scheme val="minor"/>
      </rPr>
      <t>: When debt overwhelms weak growth.</t>
    </r>
  </si>
  <si>
    <t>✅ Summary</t>
  </si>
  <si>
    <t>This analysis confirms that ROCE is shaped not only by individual financial metrics but by their interactions. Leverage and debt amplify both opportunity and risk, especially when paired with volatile growth. Evaluators should focus on firms in the "High Risk Zone" where all three drivers converge, as these are most likely to exhibit extreme ROCE outcomes — either exceptional or catastrophic.</t>
  </si>
  <si>
    <t>Interpretation of the Visual</t>
  </si>
  <si>
    <t>🎯 Inputs</t>
  </si>
  <si>
    <r>
      <t>Leverage (LI)</t>
    </r>
    <r>
      <rPr>
        <sz val="11"/>
        <color theme="1"/>
        <rFont val="Aptos Narrow"/>
        <family val="2"/>
        <scheme val="minor"/>
      </rPr>
      <t>: High vs Low</t>
    </r>
  </si>
  <si>
    <r>
      <t>Debt-to-Equity (D/E)</t>
    </r>
    <r>
      <rPr>
        <sz val="11"/>
        <color theme="1"/>
        <rFont val="Aptos Narrow"/>
        <family val="2"/>
        <scheme val="minor"/>
      </rPr>
      <t>: High vs Low</t>
    </r>
  </si>
  <si>
    <r>
      <t>Revenue Growth %</t>
    </r>
    <r>
      <rPr>
        <sz val="11"/>
        <color theme="1"/>
        <rFont val="Aptos Narrow"/>
        <family val="2"/>
        <scheme val="minor"/>
      </rPr>
      <t>: High vs Decline</t>
    </r>
  </si>
  <si>
    <t>🔄 Combined Effects (Venn Diagram)</t>
  </si>
  <si>
    <t>Batch 2 Companies, ROCE Drivers and Interaction Effects: Summary</t>
  </si>
  <si>
    <t>Variable Pair</t>
  </si>
  <si>
    <t>Correlation Value</t>
  </si>
  <si>
    <t>ROCE vs LI</t>
  </si>
  <si>
    <t>~0.12</t>
  </si>
  <si>
    <t>Weak positive correlation. Leverage regimes (moderate vs high) influence ROCE, but not strongly.</t>
  </si>
  <si>
    <t>ROCE vs D/E</t>
  </si>
  <si>
    <t>~0.08</t>
  </si>
  <si>
    <t>Very weak correlation. Most firms operate with low debt, so D/E has limited direct impact on ROCE.</t>
  </si>
  <si>
    <t>ROCE vs Revenue Growth %</t>
  </si>
  <si>
    <t>~0.55</t>
  </si>
  <si>
    <t>Moderate-to-strong positive correlation. Firms with higher growth rates tend to deliver higher ROCE, though volatility introduces noise.</t>
  </si>
  <si>
    <t>LI vs D/E</t>
  </si>
  <si>
    <t>~0.65</t>
  </si>
  <si>
    <t>Strong correlation. Both are leverage measures, so they move together.</t>
  </si>
  <si>
    <t>LI vs Revenue Growth %</t>
  </si>
  <si>
    <t>~0.10</t>
  </si>
  <si>
    <t>Weak correlation. Growth volatility is not directly tied to leverage indicator.</t>
  </si>
  <si>
    <t>D/E vs Revenue Growth %</t>
  </si>
  <si>
    <t>~0.05</t>
  </si>
  <si>
    <t>Negligible correlation. Debt levels don’t consistently align with growth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</si>
</sst>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sz val="11"/>
      <color theme="1"/>
      <name val="Aptos"/>
      <family val="2"/>
    </font>
    <font>
      <sz val="11"/>
      <color rgb="FF22222F"/>
      <name val="Aptos"/>
      <family val="2"/>
    </font>
    <font>
      <u/>
      <sz val="11"/>
      <color theme="10"/>
      <name val="Aptos Narrow"/>
      <family val="2"/>
      <scheme val="minor"/>
    </font>
    <font>
      <sz val="11"/>
      <color rgb="FF22222F"/>
      <name val="Arial"/>
      <family val="2"/>
    </font>
    <font>
      <sz val="11"/>
      <color rgb="FF22222F"/>
      <name val="Arial"/>
      <family val="2"/>
    </font>
    <font>
      <b/>
      <sz val="11"/>
      <color theme="1"/>
      <name val="Aptos"/>
      <family val="2"/>
    </font>
    <font>
      <b/>
      <sz val="12"/>
      <color theme="1"/>
      <name val="Aptos"/>
      <family val="2"/>
    </font>
    <font>
      <sz val="11"/>
      <color rgb="FF22222F"/>
      <name val="Aptos"/>
      <family val="2"/>
    </font>
    <font>
      <sz val="8"/>
      <name val="Aptos Narrow"/>
      <family val="2"/>
      <scheme val="minor"/>
    </font>
    <font>
      <sz val="11"/>
      <color rgb="FF212529"/>
      <name val="Aptos"/>
      <family val="2"/>
    </font>
    <font>
      <b/>
      <sz val="13.5"/>
      <color theme="1"/>
      <name val="Aptos Narrow"/>
      <family val="2"/>
      <scheme val="minor"/>
    </font>
    <font>
      <b/>
      <sz val="18"/>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8F8FC"/>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applyNumberFormat="0" applyFill="0" applyBorder="0" applyAlignment="0" applyProtection="0"/>
  </cellStyleXfs>
  <cellXfs count="86">
    <xf numFmtId="0" fontId="0" fillId="0" borderId="0" xfId="0"/>
    <xf numFmtId="0" fontId="0" fillId="0" borderId="0" xfId="0" applyAlignment="1">
      <alignment horizontal="center" vertical="top"/>
    </xf>
    <xf numFmtId="0" fontId="2"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0" fillId="0" borderId="0" xfId="0" applyAlignment="1">
      <alignment horizontal="center" vertical="top" wrapText="1"/>
    </xf>
    <xf numFmtId="0" fontId="3" fillId="0" borderId="0" xfId="0" applyFont="1" applyAlignment="1">
      <alignment vertical="top"/>
    </xf>
    <xf numFmtId="0" fontId="4" fillId="0" borderId="0" xfId="1"/>
    <xf numFmtId="2" fontId="0" fillId="0" borderId="0" xfId="0" applyNumberFormat="1" applyAlignment="1">
      <alignment horizontal="center" vertical="top" wrapText="1"/>
    </xf>
    <xf numFmtId="0" fontId="6" fillId="4" borderId="0" xfId="0" applyFont="1" applyFill="1" applyAlignment="1">
      <alignment horizontal="right" vertical="center" wrapText="1" indent="1"/>
    </xf>
    <xf numFmtId="0" fontId="0" fillId="0" borderId="1" xfId="0" applyBorder="1" applyAlignment="1">
      <alignment horizontal="center" vertical="top" wrapText="1"/>
    </xf>
    <xf numFmtId="0" fontId="5" fillId="3" borderId="0" xfId="0" applyFont="1" applyFill="1" applyAlignment="1">
      <alignment horizontal="center" vertical="top" wrapText="1"/>
    </xf>
    <xf numFmtId="0" fontId="5" fillId="4" borderId="1" xfId="0" applyFont="1" applyFill="1" applyBorder="1" applyAlignment="1">
      <alignment horizontal="center" vertical="top" wrapText="1"/>
    </xf>
    <xf numFmtId="0" fontId="5" fillId="3" borderId="1" xfId="0" applyFont="1" applyFill="1" applyBorder="1" applyAlignment="1">
      <alignment horizontal="center" vertical="top" wrapText="1"/>
    </xf>
    <xf numFmtId="0" fontId="9" fillId="0" borderId="1" xfId="0" applyFont="1" applyBorder="1" applyAlignment="1">
      <alignment horizontal="center" vertical="top" wrapText="1"/>
    </xf>
    <xf numFmtId="0" fontId="4" fillId="0" borderId="1" xfId="1" applyBorder="1" applyAlignment="1">
      <alignment horizontal="center" vertical="top"/>
    </xf>
    <xf numFmtId="17" fontId="0" fillId="0" borderId="1" xfId="0" applyNumberFormat="1" applyBorder="1" applyAlignment="1">
      <alignment horizontal="center" vertical="top" wrapText="1"/>
    </xf>
    <xf numFmtId="2" fontId="0" fillId="0" borderId="1" xfId="0" applyNumberFormat="1" applyBorder="1" applyAlignment="1">
      <alignment horizontal="center" vertical="top" wrapText="1"/>
    </xf>
    <xf numFmtId="0" fontId="0" fillId="0" borderId="1" xfId="0" applyBorder="1" applyAlignment="1">
      <alignment horizontal="center" vertical="top"/>
    </xf>
    <xf numFmtId="0" fontId="0" fillId="0" borderId="0" xfId="0" applyAlignment="1">
      <alignment vertical="center" wrapText="1"/>
    </xf>
    <xf numFmtId="0" fontId="9" fillId="0" borderId="2" xfId="0" applyFont="1" applyBorder="1" applyAlignment="1">
      <alignment horizontal="center" vertical="top" wrapText="1"/>
    </xf>
    <xf numFmtId="0" fontId="4" fillId="0" borderId="2" xfId="1" applyBorder="1" applyAlignment="1">
      <alignment horizontal="center" vertical="top"/>
    </xf>
    <xf numFmtId="17" fontId="0" fillId="0" borderId="2" xfId="0" applyNumberFormat="1" applyBorder="1" applyAlignment="1">
      <alignment horizontal="center" vertical="top" wrapText="1"/>
    </xf>
    <xf numFmtId="0" fontId="0" fillId="0" borderId="2" xfId="0" applyBorder="1" applyAlignment="1">
      <alignment horizontal="center" vertical="top" wrapText="1"/>
    </xf>
    <xf numFmtId="2" fontId="0" fillId="0" borderId="2" xfId="0" applyNumberFormat="1" applyBorder="1" applyAlignment="1">
      <alignment horizontal="center" vertical="top" wrapText="1"/>
    </xf>
    <xf numFmtId="0" fontId="5" fillId="4" borderId="2" xfId="0" applyFont="1" applyFill="1" applyBorder="1" applyAlignment="1">
      <alignment horizontal="center" vertical="top" wrapText="1"/>
    </xf>
    <xf numFmtId="0" fontId="5" fillId="3" borderId="2" xfId="0" applyFont="1" applyFill="1" applyBorder="1" applyAlignment="1">
      <alignment horizontal="center" vertical="top" wrapText="1"/>
    </xf>
    <xf numFmtId="0" fontId="4" fillId="0" borderId="1" xfId="1" applyBorder="1" applyAlignment="1">
      <alignment horizontal="center" vertical="top" wrapText="1"/>
    </xf>
    <xf numFmtId="2" fontId="0" fillId="0" borderId="1" xfId="0" applyNumberFormat="1" applyBorder="1" applyAlignment="1">
      <alignment horizontal="center" vertical="top"/>
    </xf>
    <xf numFmtId="2" fontId="5" fillId="4" borderId="1" xfId="0" applyNumberFormat="1" applyFont="1" applyFill="1" applyBorder="1" applyAlignment="1">
      <alignment horizontal="center" vertical="top"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4" fillId="0" borderId="1" xfId="1" applyFill="1" applyBorder="1" applyAlignment="1">
      <alignment horizontal="center" vertical="top"/>
    </xf>
    <xf numFmtId="0" fontId="4" fillId="0" borderId="1" xfId="1" applyFill="1" applyBorder="1" applyAlignment="1">
      <alignment horizontal="center" vertical="top" wrapText="1"/>
    </xf>
    <xf numFmtId="2" fontId="5" fillId="0" borderId="1" xfId="0" applyNumberFormat="1" applyFont="1" applyBorder="1" applyAlignment="1">
      <alignment horizontal="center" vertical="top" wrapText="1"/>
    </xf>
    <xf numFmtId="17" fontId="0" fillId="0" borderId="0" xfId="0" applyNumberFormat="1" applyAlignment="1">
      <alignment horizontal="center" vertical="top" wrapText="1"/>
    </xf>
    <xf numFmtId="0" fontId="4" fillId="0" borderId="2" xfId="1" applyBorder="1" applyAlignment="1">
      <alignment horizontal="center" vertical="top" wrapText="1"/>
    </xf>
    <xf numFmtId="0" fontId="9" fillId="0" borderId="1" xfId="0" applyFont="1" applyBorder="1" applyAlignment="1">
      <alignment horizontal="center" vertical="top"/>
    </xf>
    <xf numFmtId="0" fontId="4" fillId="0" borderId="2" xfId="1" applyFill="1" applyBorder="1" applyAlignment="1">
      <alignment horizontal="center" vertical="top" wrapText="1"/>
    </xf>
    <xf numFmtId="2" fontId="0" fillId="0" borderId="2" xfId="0" applyNumberFormat="1" applyBorder="1" applyAlignment="1">
      <alignment horizontal="center" vertical="top"/>
    </xf>
    <xf numFmtId="2" fontId="5" fillId="0" borderId="2" xfId="0" applyNumberFormat="1" applyFont="1" applyBorder="1" applyAlignment="1">
      <alignment horizontal="center" vertical="top" wrapText="1"/>
    </xf>
    <xf numFmtId="0" fontId="9" fillId="0" borderId="0" xfId="0" applyFont="1" applyAlignment="1">
      <alignment horizontal="center" vertical="top" wrapText="1"/>
    </xf>
    <xf numFmtId="0" fontId="4" fillId="0" borderId="0" xfId="1" applyBorder="1" applyAlignment="1">
      <alignment horizontal="center" vertical="top"/>
    </xf>
    <xf numFmtId="0" fontId="5" fillId="4" borderId="0" xfId="0" applyFont="1" applyFill="1" applyAlignment="1">
      <alignment horizontal="center" vertical="top" wrapText="1"/>
    </xf>
    <xf numFmtId="2" fontId="0" fillId="0" borderId="3" xfId="0" applyNumberFormat="1" applyBorder="1" applyAlignment="1">
      <alignment horizontal="center" vertical="top" wrapText="1"/>
    </xf>
    <xf numFmtId="0" fontId="11" fillId="0" borderId="1" xfId="0" applyFont="1" applyBorder="1" applyAlignment="1">
      <alignment horizontal="center" vertical="top" wrapText="1"/>
    </xf>
    <xf numFmtId="2" fontId="0" fillId="0" borderId="0" xfId="0" applyNumberFormat="1"/>
    <xf numFmtId="2" fontId="0" fillId="0" borderId="0" xfId="0" applyNumberFormat="1" applyAlignment="1">
      <alignment horizontal="center" vertical="top"/>
    </xf>
    <xf numFmtId="0" fontId="12"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12" fillId="0" borderId="0" xfId="0" applyFont="1" applyAlignment="1">
      <alignment vertical="top"/>
    </xf>
    <xf numFmtId="0" fontId="0" fillId="0" borderId="0" xfId="0" applyAlignment="1">
      <alignment horizontal="left" vertical="top" wrapText="1"/>
    </xf>
    <xf numFmtId="0" fontId="13" fillId="0" borderId="0" xfId="0" applyFont="1" applyAlignment="1">
      <alignment vertical="center"/>
    </xf>
    <xf numFmtId="0" fontId="1" fillId="0" borderId="0" xfId="0" applyFont="1" applyAlignment="1">
      <alignment horizontal="left" vertical="center" indent="1"/>
    </xf>
    <xf numFmtId="0" fontId="1" fillId="0" borderId="0" xfId="0" applyFont="1" applyAlignment="1">
      <alignment horizontal="center" vertical="center" wrapText="1"/>
    </xf>
    <xf numFmtId="0" fontId="1" fillId="0" borderId="0" xfId="0" applyFont="1" applyAlignment="1">
      <alignment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4" fillId="0" borderId="0" xfId="0" applyFont="1" applyAlignment="1">
      <alignment vertical="center"/>
    </xf>
    <xf numFmtId="0" fontId="0" fillId="0" borderId="9" xfId="0" applyBorder="1"/>
    <xf numFmtId="0" fontId="0" fillId="0" borderId="10" xfId="0" applyBorder="1"/>
    <xf numFmtId="0" fontId="0" fillId="0" borderId="11" xfId="0" applyBorder="1"/>
    <xf numFmtId="0" fontId="13" fillId="0" borderId="4" xfId="0" applyFont="1" applyBorder="1" applyAlignment="1">
      <alignment vertical="center"/>
    </xf>
    <xf numFmtId="0" fontId="12" fillId="0" borderId="7" xfId="0" applyFont="1" applyBorder="1" applyAlignment="1">
      <alignment vertical="center"/>
    </xf>
    <xf numFmtId="0" fontId="0" fillId="0" borderId="7" xfId="0" applyBorder="1" applyAlignment="1">
      <alignment horizontal="left" vertical="center" indent="1"/>
    </xf>
    <xf numFmtId="0" fontId="1" fillId="0" borderId="7" xfId="0" applyFont="1" applyBorder="1" applyAlignment="1">
      <alignment horizontal="left" vertical="center" indent="1"/>
    </xf>
    <xf numFmtId="0" fontId="1" fillId="0" borderId="7" xfId="0" applyFont="1" applyBorder="1" applyAlignment="1">
      <alignment horizontal="center" vertical="center" wrapText="1"/>
    </xf>
    <xf numFmtId="0" fontId="1" fillId="0" borderId="7" xfId="0" applyFont="1" applyBorder="1" applyAlignment="1">
      <alignment vertical="center" wrapText="1"/>
    </xf>
    <xf numFmtId="0" fontId="14" fillId="0" borderId="7" xfId="0" applyFont="1" applyBorder="1" applyAlignment="1">
      <alignment vertical="center"/>
    </xf>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center" vertical="top"/>
    </xf>
    <xf numFmtId="0" fontId="0" fillId="0" borderId="0" xfId="0" applyAlignment="1">
      <alignment horizontal="center" vertical="center" wrapText="1"/>
    </xf>
    <xf numFmtId="0" fontId="0" fillId="0" borderId="0" xfId="0" applyAlignment="1">
      <alignment horizontal="center"/>
    </xf>
    <xf numFmtId="0" fontId="1"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center" vertical="center" wrapText="1"/>
    </xf>
    <xf numFmtId="0" fontId="1" fillId="0" borderId="0" xfId="0" applyFont="1" applyAlignment="1">
      <alignment horizontal="center" vertical="top"/>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8" xfId="0" applyBorder="1" applyAlignment="1">
      <alignment horizontal="center" vertical="top" wrapText="1"/>
    </xf>
    <xf numFmtId="0" fontId="7" fillId="0" borderId="0" xfId="0" applyFont="1" applyAlignment="1">
      <alignment horizontal="center"/>
    </xf>
    <xf numFmtId="0" fontId="8" fillId="0" borderId="0" xfId="0" applyFont="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4</xdr:row>
      <xdr:rowOff>0</xdr:rowOff>
    </xdr:from>
    <xdr:to>
      <xdr:col>18</xdr:col>
      <xdr:colOff>83820</xdr:colOff>
      <xdr:row>13</xdr:row>
      <xdr:rowOff>136558</xdr:rowOff>
    </xdr:to>
    <xdr:pic>
      <xdr:nvPicPr>
        <xdr:cNvPr id="2" name="Picture 1">
          <a:extLst>
            <a:ext uri="{FF2B5EF4-FFF2-40B4-BE49-F238E27FC236}">
              <a16:creationId xmlns:a16="http://schemas.microsoft.com/office/drawing/2014/main" id="{DEB9E03D-A665-6DC5-A47A-44470A430694}"/>
            </a:ext>
          </a:extLst>
        </xdr:cNvPr>
        <xdr:cNvPicPr>
          <a:picLocks noChangeAspect="1"/>
        </xdr:cNvPicPr>
      </xdr:nvPicPr>
      <xdr:blipFill>
        <a:blip xmlns:r="http://schemas.openxmlformats.org/officeDocument/2006/relationships" r:embed="rId1"/>
        <a:stretch>
          <a:fillRect/>
        </a:stretch>
      </xdr:blipFill>
      <xdr:spPr>
        <a:xfrm>
          <a:off x="7406640" y="1097280"/>
          <a:ext cx="3741420" cy="2513998"/>
        </a:xfrm>
        <a:prstGeom prst="rect">
          <a:avLst/>
        </a:prstGeom>
      </xdr:spPr>
    </xdr:pic>
    <xdr:clientData/>
  </xdr:twoCellAnchor>
  <xdr:twoCellAnchor editAs="oneCell">
    <xdr:from>
      <xdr:col>12</xdr:col>
      <xdr:colOff>0</xdr:colOff>
      <xdr:row>16</xdr:row>
      <xdr:rowOff>0</xdr:rowOff>
    </xdr:from>
    <xdr:to>
      <xdr:col>17</xdr:col>
      <xdr:colOff>594360</xdr:colOff>
      <xdr:row>28</xdr:row>
      <xdr:rowOff>148379</xdr:rowOff>
    </xdr:to>
    <xdr:pic>
      <xdr:nvPicPr>
        <xdr:cNvPr id="3" name="Picture 2">
          <a:extLst>
            <a:ext uri="{FF2B5EF4-FFF2-40B4-BE49-F238E27FC236}">
              <a16:creationId xmlns:a16="http://schemas.microsoft.com/office/drawing/2014/main" id="{C3425D84-4165-8D89-A1FE-B92630380748}"/>
            </a:ext>
          </a:extLst>
        </xdr:cNvPr>
        <xdr:cNvPicPr>
          <a:picLocks noChangeAspect="1"/>
        </xdr:cNvPicPr>
      </xdr:nvPicPr>
      <xdr:blipFill>
        <a:blip xmlns:r="http://schemas.openxmlformats.org/officeDocument/2006/relationships" r:embed="rId2"/>
        <a:stretch>
          <a:fillRect/>
        </a:stretch>
      </xdr:blipFill>
      <xdr:spPr>
        <a:xfrm>
          <a:off x="7406640" y="4023360"/>
          <a:ext cx="3642360" cy="2472479"/>
        </a:xfrm>
        <a:prstGeom prst="rect">
          <a:avLst/>
        </a:prstGeom>
      </xdr:spPr>
    </xdr:pic>
    <xdr:clientData/>
  </xdr:twoCellAnchor>
  <xdr:twoCellAnchor editAs="oneCell">
    <xdr:from>
      <xdr:col>3</xdr:col>
      <xdr:colOff>0</xdr:colOff>
      <xdr:row>32</xdr:row>
      <xdr:rowOff>1</xdr:rowOff>
    </xdr:from>
    <xdr:to>
      <xdr:col>9</xdr:col>
      <xdr:colOff>378409</xdr:colOff>
      <xdr:row>46</xdr:row>
      <xdr:rowOff>99061</xdr:rowOff>
    </xdr:to>
    <xdr:pic>
      <xdr:nvPicPr>
        <xdr:cNvPr id="4" name="Picture 3">
          <a:extLst>
            <a:ext uri="{FF2B5EF4-FFF2-40B4-BE49-F238E27FC236}">
              <a16:creationId xmlns:a16="http://schemas.microsoft.com/office/drawing/2014/main" id="{AC0B060A-97B4-30DE-8C08-0EB61D709B4F}"/>
            </a:ext>
          </a:extLst>
        </xdr:cNvPr>
        <xdr:cNvPicPr>
          <a:picLocks noChangeAspect="1"/>
        </xdr:cNvPicPr>
      </xdr:nvPicPr>
      <xdr:blipFill>
        <a:blip xmlns:r="http://schemas.openxmlformats.org/officeDocument/2006/relationships" r:embed="rId3"/>
        <a:stretch>
          <a:fillRect/>
        </a:stretch>
      </xdr:blipFill>
      <xdr:spPr>
        <a:xfrm>
          <a:off x="838200" y="7078981"/>
          <a:ext cx="4036009" cy="2705100"/>
        </a:xfrm>
        <a:prstGeom prst="rect">
          <a:avLst/>
        </a:prstGeom>
      </xdr:spPr>
    </xdr:pic>
    <xdr:clientData/>
  </xdr:twoCellAnchor>
  <xdr:twoCellAnchor editAs="oneCell">
    <xdr:from>
      <xdr:col>3</xdr:col>
      <xdr:colOff>0</xdr:colOff>
      <xdr:row>48</xdr:row>
      <xdr:rowOff>0</xdr:rowOff>
    </xdr:from>
    <xdr:to>
      <xdr:col>9</xdr:col>
      <xdr:colOff>368935</xdr:colOff>
      <xdr:row>62</xdr:row>
      <xdr:rowOff>114300</xdr:rowOff>
    </xdr:to>
    <xdr:pic>
      <xdr:nvPicPr>
        <xdr:cNvPr id="5" name="Picture 4">
          <a:extLst>
            <a:ext uri="{FF2B5EF4-FFF2-40B4-BE49-F238E27FC236}">
              <a16:creationId xmlns:a16="http://schemas.microsoft.com/office/drawing/2014/main" id="{F943CFFE-7412-DDFD-7EEF-C057893BDD9C}"/>
            </a:ext>
          </a:extLst>
        </xdr:cNvPr>
        <xdr:cNvPicPr>
          <a:picLocks noChangeAspect="1"/>
        </xdr:cNvPicPr>
      </xdr:nvPicPr>
      <xdr:blipFill>
        <a:blip xmlns:r="http://schemas.openxmlformats.org/officeDocument/2006/relationships" r:embed="rId4"/>
        <a:stretch>
          <a:fillRect/>
        </a:stretch>
      </xdr:blipFill>
      <xdr:spPr>
        <a:xfrm>
          <a:off x="838200" y="10050780"/>
          <a:ext cx="4026535" cy="2720340"/>
        </a:xfrm>
        <a:prstGeom prst="rect">
          <a:avLst/>
        </a:prstGeom>
      </xdr:spPr>
    </xdr:pic>
    <xdr:clientData/>
  </xdr:twoCellAnchor>
  <xdr:twoCellAnchor editAs="oneCell">
    <xdr:from>
      <xdr:col>3</xdr:col>
      <xdr:colOff>0</xdr:colOff>
      <xdr:row>64</xdr:row>
      <xdr:rowOff>0</xdr:rowOff>
    </xdr:from>
    <xdr:to>
      <xdr:col>8</xdr:col>
      <xdr:colOff>427079</xdr:colOff>
      <xdr:row>76</xdr:row>
      <xdr:rowOff>137160</xdr:rowOff>
    </xdr:to>
    <xdr:pic>
      <xdr:nvPicPr>
        <xdr:cNvPr id="6" name="Picture 5">
          <a:extLst>
            <a:ext uri="{FF2B5EF4-FFF2-40B4-BE49-F238E27FC236}">
              <a16:creationId xmlns:a16="http://schemas.microsoft.com/office/drawing/2014/main" id="{0FCF5B48-61C4-3759-0E50-BDEF65981087}"/>
            </a:ext>
          </a:extLst>
        </xdr:cNvPr>
        <xdr:cNvPicPr>
          <a:picLocks noChangeAspect="1"/>
        </xdr:cNvPicPr>
      </xdr:nvPicPr>
      <xdr:blipFill>
        <a:blip xmlns:r="http://schemas.openxmlformats.org/officeDocument/2006/relationships" r:embed="rId5"/>
        <a:stretch>
          <a:fillRect/>
        </a:stretch>
      </xdr:blipFill>
      <xdr:spPr>
        <a:xfrm>
          <a:off x="838200" y="13022580"/>
          <a:ext cx="3475079" cy="2377440"/>
        </a:xfrm>
        <a:prstGeom prst="rect">
          <a:avLst/>
        </a:prstGeom>
      </xdr:spPr>
    </xdr:pic>
    <xdr:clientData/>
  </xdr:twoCellAnchor>
  <xdr:twoCellAnchor editAs="oneCell">
    <xdr:from>
      <xdr:col>3</xdr:col>
      <xdr:colOff>1</xdr:colOff>
      <xdr:row>78</xdr:row>
      <xdr:rowOff>0</xdr:rowOff>
    </xdr:from>
    <xdr:to>
      <xdr:col>8</xdr:col>
      <xdr:colOff>396240</xdr:colOff>
      <xdr:row>90</xdr:row>
      <xdr:rowOff>153096</xdr:rowOff>
    </xdr:to>
    <xdr:pic>
      <xdr:nvPicPr>
        <xdr:cNvPr id="7" name="Picture 6">
          <a:extLst>
            <a:ext uri="{FF2B5EF4-FFF2-40B4-BE49-F238E27FC236}">
              <a16:creationId xmlns:a16="http://schemas.microsoft.com/office/drawing/2014/main" id="{CC8171C4-1253-78E6-FED0-91D62C3F1B4E}"/>
            </a:ext>
          </a:extLst>
        </xdr:cNvPr>
        <xdr:cNvPicPr>
          <a:picLocks noChangeAspect="1"/>
        </xdr:cNvPicPr>
      </xdr:nvPicPr>
      <xdr:blipFill>
        <a:blip xmlns:r="http://schemas.openxmlformats.org/officeDocument/2006/relationships" r:embed="rId6"/>
        <a:stretch>
          <a:fillRect/>
        </a:stretch>
      </xdr:blipFill>
      <xdr:spPr>
        <a:xfrm>
          <a:off x="838201" y="15628620"/>
          <a:ext cx="3444239" cy="2393376"/>
        </a:xfrm>
        <a:prstGeom prst="rect">
          <a:avLst/>
        </a:prstGeom>
      </xdr:spPr>
    </xdr:pic>
    <xdr:clientData/>
  </xdr:twoCellAnchor>
  <xdr:twoCellAnchor editAs="oneCell">
    <xdr:from>
      <xdr:col>3</xdr:col>
      <xdr:colOff>0</xdr:colOff>
      <xdr:row>95</xdr:row>
      <xdr:rowOff>0</xdr:rowOff>
    </xdr:from>
    <xdr:to>
      <xdr:col>8</xdr:col>
      <xdr:colOff>168862</xdr:colOff>
      <xdr:row>106</xdr:row>
      <xdr:rowOff>129540</xdr:rowOff>
    </xdr:to>
    <xdr:pic>
      <xdr:nvPicPr>
        <xdr:cNvPr id="8" name="Picture 7">
          <a:extLst>
            <a:ext uri="{FF2B5EF4-FFF2-40B4-BE49-F238E27FC236}">
              <a16:creationId xmlns:a16="http://schemas.microsoft.com/office/drawing/2014/main" id="{9539D4B5-57DE-A04E-04C1-699B1269C360}"/>
            </a:ext>
          </a:extLst>
        </xdr:cNvPr>
        <xdr:cNvPicPr>
          <a:picLocks noChangeAspect="1"/>
        </xdr:cNvPicPr>
      </xdr:nvPicPr>
      <xdr:blipFill>
        <a:blip xmlns:r="http://schemas.openxmlformats.org/officeDocument/2006/relationships" r:embed="rId7"/>
        <a:stretch>
          <a:fillRect/>
        </a:stretch>
      </xdr:blipFill>
      <xdr:spPr>
        <a:xfrm>
          <a:off x="838200" y="18783300"/>
          <a:ext cx="3216862" cy="2186940"/>
        </a:xfrm>
        <a:prstGeom prst="rect">
          <a:avLst/>
        </a:prstGeom>
      </xdr:spPr>
    </xdr:pic>
    <xdr:clientData/>
  </xdr:twoCellAnchor>
  <xdr:twoCellAnchor editAs="oneCell">
    <xdr:from>
      <xdr:col>13</xdr:col>
      <xdr:colOff>30480</xdr:colOff>
      <xdr:row>108</xdr:row>
      <xdr:rowOff>0</xdr:rowOff>
    </xdr:from>
    <xdr:to>
      <xdr:col>17</xdr:col>
      <xdr:colOff>124455</xdr:colOff>
      <xdr:row>117</xdr:row>
      <xdr:rowOff>83820</xdr:rowOff>
    </xdr:to>
    <xdr:pic>
      <xdr:nvPicPr>
        <xdr:cNvPr id="9" name="Picture 8">
          <a:extLst>
            <a:ext uri="{FF2B5EF4-FFF2-40B4-BE49-F238E27FC236}">
              <a16:creationId xmlns:a16="http://schemas.microsoft.com/office/drawing/2014/main" id="{6461C293-95C1-52BB-ECA1-6388569FB715}"/>
            </a:ext>
          </a:extLst>
        </xdr:cNvPr>
        <xdr:cNvPicPr>
          <a:picLocks noChangeAspect="1"/>
        </xdr:cNvPicPr>
      </xdr:nvPicPr>
      <xdr:blipFill>
        <a:blip xmlns:r="http://schemas.openxmlformats.org/officeDocument/2006/relationships" r:embed="rId8"/>
        <a:stretch>
          <a:fillRect/>
        </a:stretch>
      </xdr:blipFill>
      <xdr:spPr>
        <a:xfrm>
          <a:off x="6614160" y="21206460"/>
          <a:ext cx="2532375" cy="1935480"/>
        </a:xfrm>
        <a:prstGeom prst="rect">
          <a:avLst/>
        </a:prstGeom>
      </xdr:spPr>
    </xdr:pic>
    <xdr:clientData/>
  </xdr:twoCellAnchor>
  <xdr:twoCellAnchor editAs="oneCell">
    <xdr:from>
      <xdr:col>3</xdr:col>
      <xdr:colOff>0</xdr:colOff>
      <xdr:row>188</xdr:row>
      <xdr:rowOff>1</xdr:rowOff>
    </xdr:from>
    <xdr:to>
      <xdr:col>8</xdr:col>
      <xdr:colOff>441804</xdr:colOff>
      <xdr:row>193</xdr:row>
      <xdr:rowOff>45721</xdr:rowOff>
    </xdr:to>
    <xdr:pic>
      <xdr:nvPicPr>
        <xdr:cNvPr id="10" name="Picture 9">
          <a:extLst>
            <a:ext uri="{FF2B5EF4-FFF2-40B4-BE49-F238E27FC236}">
              <a16:creationId xmlns:a16="http://schemas.microsoft.com/office/drawing/2014/main" id="{BC4C60AA-5B64-A212-DB50-60CDEEEBE250}"/>
            </a:ext>
          </a:extLst>
        </xdr:cNvPr>
        <xdr:cNvPicPr>
          <a:picLocks noChangeAspect="1"/>
        </xdr:cNvPicPr>
      </xdr:nvPicPr>
      <xdr:blipFill>
        <a:blip xmlns:r="http://schemas.openxmlformats.org/officeDocument/2006/relationships" r:embed="rId9"/>
        <a:stretch>
          <a:fillRect/>
        </a:stretch>
      </xdr:blipFill>
      <xdr:spPr>
        <a:xfrm>
          <a:off x="838200" y="49324261"/>
          <a:ext cx="3489804" cy="24307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seindia.com/stock-share-price/veljan-denison-ltd/VELJAN/505232/" TargetMode="External"/><Relationship Id="rId13" Type="http://schemas.openxmlformats.org/officeDocument/2006/relationships/hyperlink" Target="https://www.bseindia.com/stock-share-price/veljan-denison-ltd/VELJAN/505232/" TargetMode="External"/><Relationship Id="rId18" Type="http://schemas.openxmlformats.org/officeDocument/2006/relationships/hyperlink" Target="https://www.bseindia.com/stock-share-price/ist-ltd/ISTLTD/508807/" TargetMode="External"/><Relationship Id="rId3" Type="http://schemas.openxmlformats.org/officeDocument/2006/relationships/hyperlink" Target="https://www.bseindia.com/stock-share-price/hindustan-hardy-ltd/HINDHARD/505893/" TargetMode="External"/><Relationship Id="rId21" Type="http://schemas.openxmlformats.org/officeDocument/2006/relationships/hyperlink" Target="https://www.bseindia.com/stock-share-price/g-g-automotive-gears-ltd/GGAUTO/531399/" TargetMode="External"/><Relationship Id="rId7" Type="http://schemas.openxmlformats.org/officeDocument/2006/relationships/hyperlink" Target="https://www.bseindia.com/stock-share-price/veljan-denison-ltd/VELJAN/505232/" TargetMode="External"/><Relationship Id="rId12" Type="http://schemas.openxmlformats.org/officeDocument/2006/relationships/hyperlink" Target="https://www.bseindia.com/stock-share-price/veljan-denison-ltd/VELJAN/505232/" TargetMode="External"/><Relationship Id="rId17" Type="http://schemas.openxmlformats.org/officeDocument/2006/relationships/hyperlink" Target="https://www.bseindia.com/stock-share-price/ist-ltd/ISTLTD/508807/" TargetMode="External"/><Relationship Id="rId2" Type="http://schemas.openxmlformats.org/officeDocument/2006/relationships/hyperlink" Target="https://www.bseindia.com/stock-share-price/hindustan-hardy-ltd/HINDHARD/505893/" TargetMode="External"/><Relationship Id="rId16" Type="http://schemas.openxmlformats.org/officeDocument/2006/relationships/hyperlink" Target="https://www.bseindia.com/stock-share-price/veljan-denison-ltd/VELJAN/505232/" TargetMode="External"/><Relationship Id="rId20" Type="http://schemas.openxmlformats.org/officeDocument/2006/relationships/hyperlink" Target="https://www.bseindia.com/stock-share-price/ist-ltd/ISTLTD/508807/" TargetMode="External"/><Relationship Id="rId1" Type="http://schemas.openxmlformats.org/officeDocument/2006/relationships/hyperlink" Target="https://www.bseindia.com/stock-share-price/hindustan-hardy-ltd/HINDHARD/505893/" TargetMode="External"/><Relationship Id="rId6" Type="http://schemas.openxmlformats.org/officeDocument/2006/relationships/hyperlink" Target="https://www.bseindia.com/stock-share-price/hindustan-hardy-ltd/HINDHARD/505893/" TargetMode="External"/><Relationship Id="rId11" Type="http://schemas.openxmlformats.org/officeDocument/2006/relationships/hyperlink" Target="https://www.bseindia.com/stock-share-price/veljan-denison-ltd/VELJAN/505232/" TargetMode="External"/><Relationship Id="rId24" Type="http://schemas.openxmlformats.org/officeDocument/2006/relationships/hyperlink" Target="https://www.bseindia.com/stock-share-price/g-g-automotive-gears-ltd/GGAUTO/531399/" TargetMode="External"/><Relationship Id="rId5" Type="http://schemas.openxmlformats.org/officeDocument/2006/relationships/hyperlink" Target="https://www.bseindia.com/stock-share-price/hindustan-hardy-ltd/HINDHARD/505893/" TargetMode="External"/><Relationship Id="rId15" Type="http://schemas.openxmlformats.org/officeDocument/2006/relationships/hyperlink" Target="https://www.bseindia.com/stock-share-price/veljan-denison-ltd/VELJAN/505232/" TargetMode="External"/><Relationship Id="rId23" Type="http://schemas.openxmlformats.org/officeDocument/2006/relationships/hyperlink" Target="https://www.bseindia.com/stock-share-price/g-g-automotive-gears-ltd/GGAUTO/531399/" TargetMode="External"/><Relationship Id="rId10" Type="http://schemas.openxmlformats.org/officeDocument/2006/relationships/hyperlink" Target="https://www.bseindia.com/stock-share-price/veljan-denison-ltd/VELJAN/505232/" TargetMode="External"/><Relationship Id="rId19" Type="http://schemas.openxmlformats.org/officeDocument/2006/relationships/hyperlink" Target="https://www.bseindia.com/stock-share-price/ist-ltd/ISTLTD/508807/" TargetMode="External"/><Relationship Id="rId4" Type="http://schemas.openxmlformats.org/officeDocument/2006/relationships/hyperlink" Target="https://www.bseindia.com/stock-share-price/hindustan-hardy-ltd/HINDHARD/505893/" TargetMode="External"/><Relationship Id="rId9" Type="http://schemas.openxmlformats.org/officeDocument/2006/relationships/hyperlink" Target="https://www.bseindia.com/stock-share-price/veljan-denison-ltd/VELJAN/505232/" TargetMode="External"/><Relationship Id="rId14" Type="http://schemas.openxmlformats.org/officeDocument/2006/relationships/hyperlink" Target="https://www.bseindia.com/stock-share-price/veljan-denison-ltd/VELJAN/505232/" TargetMode="External"/><Relationship Id="rId22" Type="http://schemas.openxmlformats.org/officeDocument/2006/relationships/hyperlink" Target="https://www.bseindia.com/stock-share-price/g-g-automotive-gears-ltd/GGAUTO/53139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50657-FD03-4743-B911-1A19DC91513C}">
  <dimension ref="A3:AC60"/>
  <sheetViews>
    <sheetView topLeftCell="A23" zoomScale="75" zoomScaleNormal="75" workbookViewId="0">
      <selection activeCell="AA1" sqref="AA1:AA1048576"/>
    </sheetView>
  </sheetViews>
  <sheetFormatPr defaultRowHeight="14.4" x14ac:dyDescent="0.3"/>
  <cols>
    <col min="1" max="1" width="4.21875" style="4" customWidth="1"/>
    <col min="2" max="5" width="8.88671875" style="4"/>
    <col min="6" max="6" width="11.5546875" style="4" bestFit="1" customWidth="1"/>
    <col min="7" max="12" width="8.88671875" style="4"/>
    <col min="13" max="13" width="11.5546875" style="4" bestFit="1" customWidth="1"/>
    <col min="14" max="18" width="8.88671875" style="4"/>
    <col min="19" max="19" width="11.5546875" style="4" bestFit="1" customWidth="1"/>
    <col min="20" max="21" width="10.5546875" style="4" bestFit="1" customWidth="1"/>
    <col min="22" max="25" width="8.88671875" style="4"/>
    <col min="26" max="27" width="11.5546875" style="4" bestFit="1" customWidth="1"/>
    <col min="28" max="28" width="8.88671875" style="4"/>
    <col min="29" max="29" width="11.5546875" style="4" bestFit="1" customWidth="1"/>
    <col min="30" max="16384" width="8.88671875" style="4"/>
  </cols>
  <sheetData>
    <row r="3" spans="1:29" ht="15.6" x14ac:dyDescent="0.3">
      <c r="C3" s="85" t="s">
        <v>37</v>
      </c>
      <c r="D3" s="85"/>
      <c r="E3" s="85"/>
      <c r="F3" s="85"/>
      <c r="G3" s="85"/>
      <c r="H3" s="85"/>
      <c r="I3" s="85"/>
    </row>
    <row r="5" spans="1:29" ht="57.6" x14ac:dyDescent="0.3">
      <c r="A5" s="4" t="s">
        <v>0</v>
      </c>
      <c r="B5" s="2" t="s">
        <v>1</v>
      </c>
      <c r="C5" s="2" t="s">
        <v>2</v>
      </c>
      <c r="D5" s="3" t="s">
        <v>3</v>
      </c>
      <c r="E5" s="2" t="s">
        <v>4</v>
      </c>
      <c r="F5" s="2" t="s">
        <v>5</v>
      </c>
      <c r="G5" s="3" t="s">
        <v>6</v>
      </c>
      <c r="H5" s="3" t="s">
        <v>7</v>
      </c>
      <c r="I5" s="3" t="s">
        <v>8</v>
      </c>
      <c r="J5" s="3" t="s">
        <v>9</v>
      </c>
      <c r="K5" s="3" t="s">
        <v>10</v>
      </c>
      <c r="L5" s="3" t="s">
        <v>11</v>
      </c>
      <c r="M5" s="3" t="s">
        <v>12</v>
      </c>
      <c r="N5" s="3" t="s">
        <v>13</v>
      </c>
      <c r="O5" s="3" t="s">
        <v>14</v>
      </c>
      <c r="P5" s="3" t="s">
        <v>15</v>
      </c>
      <c r="Q5" s="3" t="s">
        <v>16</v>
      </c>
      <c r="R5" s="3" t="s">
        <v>17</v>
      </c>
      <c r="S5" s="3" t="s">
        <v>18</v>
      </c>
      <c r="T5" s="3" t="s">
        <v>19</v>
      </c>
      <c r="U5" s="3" t="s">
        <v>20</v>
      </c>
      <c r="V5" s="3" t="s">
        <v>21</v>
      </c>
      <c r="W5" s="3" t="s">
        <v>22</v>
      </c>
      <c r="X5" s="3" t="s">
        <v>23</v>
      </c>
      <c r="Y5" s="3" t="s">
        <v>24</v>
      </c>
      <c r="Z5" s="3" t="s">
        <v>25</v>
      </c>
      <c r="AA5" s="3" t="s">
        <v>26</v>
      </c>
      <c r="AB5" s="3" t="s">
        <v>27</v>
      </c>
      <c r="AC5" s="3" t="s">
        <v>28</v>
      </c>
    </row>
    <row r="6" spans="1:29" ht="43.2" x14ac:dyDescent="0.3">
      <c r="A6" s="4">
        <v>6</v>
      </c>
      <c r="B6" s="13" t="s">
        <v>29</v>
      </c>
      <c r="C6" s="14">
        <v>505893</v>
      </c>
      <c r="D6" s="15">
        <v>45717</v>
      </c>
      <c r="E6" s="9">
        <v>81</v>
      </c>
      <c r="F6" s="16">
        <f>100*(E6-E7)/E7</f>
        <v>19.117647058823529</v>
      </c>
      <c r="G6" s="29">
        <v>9.74</v>
      </c>
      <c r="H6" s="29">
        <v>26.49</v>
      </c>
      <c r="I6" s="29">
        <v>3.74</v>
      </c>
      <c r="J6" s="29">
        <v>0.34</v>
      </c>
      <c r="K6" s="29">
        <v>1.6</v>
      </c>
      <c r="L6" s="9">
        <f>SUM(G6:K6)</f>
        <v>41.910000000000004</v>
      </c>
      <c r="M6" s="12">
        <v>15.9</v>
      </c>
      <c r="N6" s="12">
        <v>0.56999999999999995</v>
      </c>
      <c r="O6" s="12">
        <v>2.76</v>
      </c>
      <c r="P6" s="29">
        <v>4.87</v>
      </c>
      <c r="Q6" s="12">
        <v>0</v>
      </c>
      <c r="R6" s="9">
        <f>SUM(M6:Q6)</f>
        <v>24.099999999999998</v>
      </c>
      <c r="S6" s="16">
        <f>L6/R6</f>
        <v>1.7390041493775936</v>
      </c>
      <c r="T6" s="16">
        <f>(L6-G6-K6)/R6</f>
        <v>1.2684647302904566</v>
      </c>
      <c r="U6" s="16">
        <f>(S6+T6)/2</f>
        <v>1.5037344398340251</v>
      </c>
      <c r="V6" s="12">
        <v>56</v>
      </c>
      <c r="W6" s="9">
        <f>V6-R6</f>
        <v>31.900000000000002</v>
      </c>
      <c r="X6" s="29">
        <v>10</v>
      </c>
      <c r="Y6" s="29">
        <v>0.51</v>
      </c>
      <c r="Z6" s="9">
        <f>X6+Y6</f>
        <v>10.51</v>
      </c>
      <c r="AA6" s="16">
        <f>100*(Z6/W6)</f>
        <v>32.94670846394984</v>
      </c>
      <c r="AB6" s="16">
        <v>0.25533333333333336</v>
      </c>
      <c r="AC6" s="16">
        <f>U6*AB6</f>
        <v>0.38395352697095442</v>
      </c>
    </row>
    <row r="7" spans="1:29" ht="43.2" x14ac:dyDescent="0.3">
      <c r="A7" s="4">
        <v>6</v>
      </c>
      <c r="B7" s="13" t="s">
        <v>29</v>
      </c>
      <c r="C7" s="14">
        <v>505893</v>
      </c>
      <c r="D7" s="15">
        <v>45352</v>
      </c>
      <c r="E7" s="9">
        <v>68</v>
      </c>
      <c r="F7" s="16">
        <f t="shared" ref="F7:F14" si="0">100*(E7-E8)/E8</f>
        <v>7.9365079365079367</v>
      </c>
      <c r="G7" s="29">
        <v>6.75</v>
      </c>
      <c r="H7" s="29">
        <v>20.28</v>
      </c>
      <c r="I7" s="29">
        <v>4.16</v>
      </c>
      <c r="J7" s="29">
        <v>0.21</v>
      </c>
      <c r="K7" s="29">
        <v>0.9</v>
      </c>
      <c r="L7" s="9">
        <f t="shared" ref="L7:L30" si="1">SUM(G7:K7)</f>
        <v>32.300000000000004</v>
      </c>
      <c r="M7" s="12">
        <v>10.85</v>
      </c>
      <c r="N7" s="12">
        <v>0.96</v>
      </c>
      <c r="O7" s="12">
        <v>3.44</v>
      </c>
      <c r="P7" s="29">
        <v>2.12</v>
      </c>
      <c r="Q7" s="12">
        <v>0</v>
      </c>
      <c r="R7" s="9">
        <f t="shared" ref="R7:R30" si="2">SUM(M7:Q7)</f>
        <v>17.369999999999997</v>
      </c>
      <c r="S7" s="16">
        <f t="shared" ref="S7:S30" si="3">L7/R7</f>
        <v>1.8595279217040881</v>
      </c>
      <c r="T7" s="16">
        <f t="shared" ref="T7:T30" si="4">(L7-G7-K7)/R7</f>
        <v>1.4191134139320674</v>
      </c>
      <c r="U7" s="16">
        <f t="shared" ref="U7:U30" si="5">(S7+T7)/2</f>
        <v>1.6393206678180778</v>
      </c>
      <c r="V7" s="12">
        <v>43</v>
      </c>
      <c r="W7" s="9">
        <f t="shared" ref="W7:W30" si="6">V7-R7</f>
        <v>25.630000000000003</v>
      </c>
      <c r="X7" s="29">
        <v>8</v>
      </c>
      <c r="Y7" s="29">
        <v>0.27</v>
      </c>
      <c r="Z7" s="9">
        <f t="shared" ref="Z7:Z30" si="7">X7+Y7</f>
        <v>8.27</v>
      </c>
      <c r="AA7" s="16">
        <f t="shared" ref="AA7:AA30" si="8">100*(Z7/W7)</f>
        <v>32.266874756145135</v>
      </c>
      <c r="AB7" s="16">
        <v>0.17041666666666666</v>
      </c>
      <c r="AC7" s="16">
        <f t="shared" ref="AC7:AC30" si="9">U7*AB7</f>
        <v>0.27936756380733074</v>
      </c>
    </row>
    <row r="8" spans="1:29" ht="43.2" x14ac:dyDescent="0.3">
      <c r="A8" s="4">
        <v>6</v>
      </c>
      <c r="B8" s="13" t="s">
        <v>29</v>
      </c>
      <c r="C8" s="14">
        <v>505893</v>
      </c>
      <c r="D8" s="15">
        <v>44986</v>
      </c>
      <c r="E8" s="9">
        <v>63</v>
      </c>
      <c r="F8" s="16">
        <f t="shared" si="0"/>
        <v>0</v>
      </c>
      <c r="G8" s="29">
        <v>6.05</v>
      </c>
      <c r="H8" s="29">
        <v>19.55</v>
      </c>
      <c r="I8" s="29">
        <v>2.3199999999999998</v>
      </c>
      <c r="J8" s="29">
        <v>0.27</v>
      </c>
      <c r="K8" s="29">
        <v>0.77</v>
      </c>
      <c r="L8" s="9">
        <f t="shared" si="1"/>
        <v>28.96</v>
      </c>
      <c r="M8" s="12">
        <v>10.5</v>
      </c>
      <c r="N8" s="12">
        <v>0.19</v>
      </c>
      <c r="O8" s="12">
        <v>2.9</v>
      </c>
      <c r="P8" s="29">
        <v>2.15</v>
      </c>
      <c r="Q8" s="12">
        <v>0</v>
      </c>
      <c r="R8" s="9">
        <f t="shared" si="2"/>
        <v>15.74</v>
      </c>
      <c r="S8" s="16">
        <f t="shared" si="3"/>
        <v>1.8398983481575604</v>
      </c>
      <c r="T8" s="16">
        <f t="shared" si="4"/>
        <v>1.4066073697585768</v>
      </c>
      <c r="U8" s="16">
        <f t="shared" si="5"/>
        <v>1.6232528589580686</v>
      </c>
      <c r="V8" s="12">
        <v>36</v>
      </c>
      <c r="W8" s="9">
        <f t="shared" si="6"/>
        <v>20.259999999999998</v>
      </c>
      <c r="X8" s="29">
        <v>6</v>
      </c>
      <c r="Y8" s="29">
        <v>0.52</v>
      </c>
      <c r="Z8" s="9">
        <f t="shared" si="7"/>
        <v>6.52</v>
      </c>
      <c r="AA8" s="16">
        <f t="shared" si="8"/>
        <v>32.181638696939785</v>
      </c>
      <c r="AB8" s="16">
        <v>0.20210526315789473</v>
      </c>
      <c r="AC8" s="16">
        <f t="shared" si="9"/>
        <v>0.32806794623152541</v>
      </c>
    </row>
    <row r="9" spans="1:29" ht="43.2" x14ac:dyDescent="0.3">
      <c r="A9" s="4">
        <v>6</v>
      </c>
      <c r="B9" s="13" t="s">
        <v>29</v>
      </c>
      <c r="C9" s="14">
        <v>505893</v>
      </c>
      <c r="D9" s="15">
        <v>44621</v>
      </c>
      <c r="E9" s="9">
        <v>63</v>
      </c>
      <c r="F9" s="16">
        <f t="shared" si="0"/>
        <v>40</v>
      </c>
      <c r="G9" s="29">
        <v>4.76</v>
      </c>
      <c r="H9" s="29">
        <v>19.09</v>
      </c>
      <c r="I9" s="29">
        <v>1.56</v>
      </c>
      <c r="J9" s="29">
        <v>0.17</v>
      </c>
      <c r="K9" s="29">
        <v>0.88</v>
      </c>
      <c r="L9" s="9">
        <f t="shared" si="1"/>
        <v>26.46</v>
      </c>
      <c r="M9" s="12">
        <v>9.48</v>
      </c>
      <c r="N9" s="12">
        <v>0.13</v>
      </c>
      <c r="O9" s="12">
        <v>2.2999999999999998</v>
      </c>
      <c r="P9" s="29">
        <v>4.3499999999999996</v>
      </c>
      <c r="Q9" s="12">
        <v>0</v>
      </c>
      <c r="R9" s="9">
        <f t="shared" si="2"/>
        <v>16.259999999999998</v>
      </c>
      <c r="S9" s="16">
        <f t="shared" si="3"/>
        <v>1.6273062730627308</v>
      </c>
      <c r="T9" s="16">
        <f t="shared" si="4"/>
        <v>1.2804428044280447</v>
      </c>
      <c r="U9" s="16">
        <f t="shared" si="5"/>
        <v>1.4538745387453877</v>
      </c>
      <c r="V9" s="12">
        <v>33</v>
      </c>
      <c r="W9" s="9">
        <f t="shared" si="6"/>
        <v>16.740000000000002</v>
      </c>
      <c r="X9" s="29">
        <v>6</v>
      </c>
      <c r="Y9" s="29">
        <v>0.11</v>
      </c>
      <c r="Z9" s="9">
        <f t="shared" si="7"/>
        <v>6.11</v>
      </c>
      <c r="AA9" s="16">
        <f t="shared" si="8"/>
        <v>36.499402628434886</v>
      </c>
      <c r="AB9" s="16">
        <v>0.43066666666666659</v>
      </c>
      <c r="AC9" s="16">
        <f t="shared" si="9"/>
        <v>0.62613530135301354</v>
      </c>
    </row>
    <row r="10" spans="1:29" ht="43.2" x14ac:dyDescent="0.3">
      <c r="A10" s="4">
        <v>6</v>
      </c>
      <c r="B10" s="19" t="s">
        <v>29</v>
      </c>
      <c r="C10" s="20">
        <v>505893</v>
      </c>
      <c r="D10" s="21">
        <v>44256</v>
      </c>
      <c r="E10" s="22">
        <v>45</v>
      </c>
      <c r="F10" s="23">
        <v>15.384615384615385</v>
      </c>
      <c r="G10" s="30">
        <v>5.19</v>
      </c>
      <c r="H10" s="30">
        <v>17.059999999999999</v>
      </c>
      <c r="I10" s="30">
        <v>0.76</v>
      </c>
      <c r="J10" s="30">
        <v>0.22</v>
      </c>
      <c r="K10" s="30">
        <v>1.65</v>
      </c>
      <c r="L10" s="22">
        <f t="shared" si="1"/>
        <v>24.88</v>
      </c>
      <c r="M10" s="25">
        <v>10.039999999999999</v>
      </c>
      <c r="N10" s="25">
        <v>0.05</v>
      </c>
      <c r="O10" s="25">
        <v>4.96</v>
      </c>
      <c r="P10" s="30">
        <v>2.61</v>
      </c>
      <c r="Q10" s="25">
        <v>0</v>
      </c>
      <c r="R10" s="22">
        <f t="shared" si="2"/>
        <v>17.66</v>
      </c>
      <c r="S10" s="23">
        <f t="shared" si="3"/>
        <v>1.4088335220838051</v>
      </c>
      <c r="T10" s="23">
        <f t="shared" si="4"/>
        <v>1.0215175537938845</v>
      </c>
      <c r="U10" s="23">
        <f t="shared" si="5"/>
        <v>1.2151755379388449</v>
      </c>
      <c r="V10" s="25">
        <v>30</v>
      </c>
      <c r="W10" s="22">
        <f t="shared" si="6"/>
        <v>12.34</v>
      </c>
      <c r="X10" s="30">
        <v>5</v>
      </c>
      <c r="Y10" s="30">
        <v>0.04</v>
      </c>
      <c r="Z10" s="22">
        <f t="shared" si="7"/>
        <v>5.04</v>
      </c>
      <c r="AA10" s="23">
        <f t="shared" si="8"/>
        <v>40.842787682333878</v>
      </c>
      <c r="AB10" s="23">
        <v>0.3</v>
      </c>
      <c r="AC10" s="16">
        <f t="shared" si="9"/>
        <v>0.36455266138165349</v>
      </c>
    </row>
    <row r="11" spans="1:29" ht="43.2" x14ac:dyDescent="0.3">
      <c r="A11" s="4">
        <v>7</v>
      </c>
      <c r="B11" s="13" t="s">
        <v>38</v>
      </c>
      <c r="C11" s="26">
        <v>505232</v>
      </c>
      <c r="D11" s="15">
        <v>45717</v>
      </c>
      <c r="E11" s="29">
        <v>142</v>
      </c>
      <c r="F11" s="16">
        <f t="shared" si="0"/>
        <v>14.516129032258064</v>
      </c>
      <c r="G11" s="29">
        <v>70</v>
      </c>
      <c r="H11" s="29">
        <v>33</v>
      </c>
      <c r="I11" s="29">
        <v>44</v>
      </c>
      <c r="J11" s="29">
        <v>3</v>
      </c>
      <c r="K11" s="29">
        <v>9</v>
      </c>
      <c r="L11" s="9">
        <f t="shared" si="1"/>
        <v>159</v>
      </c>
      <c r="M11" s="12">
        <v>12.13</v>
      </c>
      <c r="N11" s="12">
        <v>0.55000000000000004</v>
      </c>
      <c r="O11" s="12">
        <v>16.5</v>
      </c>
      <c r="P11" s="29">
        <v>7.8</v>
      </c>
      <c r="Q11" s="12">
        <v>0</v>
      </c>
      <c r="R11" s="9">
        <f t="shared" si="2"/>
        <v>36.979999999999997</v>
      </c>
      <c r="S11" s="16">
        <f t="shared" si="3"/>
        <v>4.2996214169821529</v>
      </c>
      <c r="T11" s="16">
        <f t="shared" si="4"/>
        <v>2.1633315305570582</v>
      </c>
      <c r="U11" s="16">
        <f t="shared" si="5"/>
        <v>3.2314764737696056</v>
      </c>
      <c r="V11" s="12">
        <v>257</v>
      </c>
      <c r="W11" s="9">
        <f t="shared" si="6"/>
        <v>220.02</v>
      </c>
      <c r="X11" s="29">
        <v>33</v>
      </c>
      <c r="Y11" s="29">
        <v>2.78</v>
      </c>
      <c r="Z11" s="9">
        <f t="shared" si="7"/>
        <v>35.78</v>
      </c>
      <c r="AA11" s="16">
        <f t="shared" si="8"/>
        <v>16.262157985637668</v>
      </c>
      <c r="AB11" s="16">
        <v>3.7031963470319632E-2</v>
      </c>
      <c r="AC11" s="16">
        <f t="shared" si="9"/>
        <v>0.11966791873183333</v>
      </c>
    </row>
    <row r="12" spans="1:29" ht="43.2" x14ac:dyDescent="0.3">
      <c r="A12" s="4">
        <v>7</v>
      </c>
      <c r="B12" s="13" t="s">
        <v>38</v>
      </c>
      <c r="C12" s="26">
        <v>505233</v>
      </c>
      <c r="D12" s="15">
        <v>45352</v>
      </c>
      <c r="E12" s="29">
        <v>124</v>
      </c>
      <c r="F12" s="16">
        <f t="shared" si="0"/>
        <v>11.711711711711711</v>
      </c>
      <c r="G12" s="29">
        <v>60</v>
      </c>
      <c r="H12" s="29">
        <v>29</v>
      </c>
      <c r="I12" s="29">
        <v>38</v>
      </c>
      <c r="J12" s="29">
        <v>3</v>
      </c>
      <c r="K12" s="29">
        <v>7</v>
      </c>
      <c r="L12" s="9">
        <f t="shared" si="1"/>
        <v>137</v>
      </c>
      <c r="M12" s="12">
        <v>8.8699999999999992</v>
      </c>
      <c r="N12" s="12">
        <v>0.55000000000000004</v>
      </c>
      <c r="O12" s="12">
        <v>14.24</v>
      </c>
      <c r="P12" s="29">
        <v>6.94</v>
      </c>
      <c r="Q12" s="12">
        <v>0</v>
      </c>
      <c r="R12" s="9">
        <f t="shared" si="2"/>
        <v>30.6</v>
      </c>
      <c r="S12" s="16">
        <f t="shared" si="3"/>
        <v>4.477124183006536</v>
      </c>
      <c r="T12" s="16">
        <f t="shared" si="4"/>
        <v>2.2875816993464051</v>
      </c>
      <c r="U12" s="16">
        <f t="shared" si="5"/>
        <v>3.3823529411764706</v>
      </c>
      <c r="V12" s="12">
        <v>231</v>
      </c>
      <c r="W12" s="9">
        <f t="shared" si="6"/>
        <v>200.4</v>
      </c>
      <c r="X12" s="29">
        <v>30</v>
      </c>
      <c r="Y12" s="29">
        <v>2.72</v>
      </c>
      <c r="Z12" s="9">
        <f t="shared" si="7"/>
        <v>32.72</v>
      </c>
      <c r="AA12" s="16">
        <f t="shared" si="8"/>
        <v>16.327345309381236</v>
      </c>
      <c r="AB12" s="16">
        <v>3.4700000000000002E-2</v>
      </c>
      <c r="AC12" s="16">
        <f t="shared" si="9"/>
        <v>0.11736764705882353</v>
      </c>
    </row>
    <row r="13" spans="1:29" ht="43.2" x14ac:dyDescent="0.3">
      <c r="A13" s="4">
        <v>7</v>
      </c>
      <c r="B13" s="13" t="s">
        <v>38</v>
      </c>
      <c r="C13" s="26">
        <v>505234</v>
      </c>
      <c r="D13" s="15">
        <v>44986</v>
      </c>
      <c r="E13" s="29">
        <v>111</v>
      </c>
      <c r="F13" s="16">
        <f t="shared" si="0"/>
        <v>13.26530612244898</v>
      </c>
      <c r="G13" s="29">
        <v>53</v>
      </c>
      <c r="H13" s="29">
        <v>28</v>
      </c>
      <c r="I13" s="29">
        <v>38</v>
      </c>
      <c r="J13" s="29">
        <v>4</v>
      </c>
      <c r="K13" s="29">
        <v>8</v>
      </c>
      <c r="L13" s="9">
        <f t="shared" si="1"/>
        <v>131</v>
      </c>
      <c r="M13" s="12">
        <v>10.08</v>
      </c>
      <c r="N13" s="12">
        <v>0.68</v>
      </c>
      <c r="O13" s="12">
        <v>15.25</v>
      </c>
      <c r="P13" s="29">
        <v>9.41</v>
      </c>
      <c r="Q13" s="12">
        <v>0</v>
      </c>
      <c r="R13" s="9">
        <f t="shared" si="2"/>
        <v>35.42</v>
      </c>
      <c r="S13" s="16">
        <f t="shared" si="3"/>
        <v>3.6984754376058722</v>
      </c>
      <c r="T13" s="16">
        <f t="shared" si="4"/>
        <v>1.9762845849802371</v>
      </c>
      <c r="U13" s="16">
        <f t="shared" si="5"/>
        <v>2.8373800112930545</v>
      </c>
      <c r="V13" s="12">
        <v>219</v>
      </c>
      <c r="W13" s="9">
        <f t="shared" si="6"/>
        <v>183.57999999999998</v>
      </c>
      <c r="X13" s="29">
        <v>23</v>
      </c>
      <c r="Y13" s="29">
        <v>2.04</v>
      </c>
      <c r="Z13" s="9">
        <f t="shared" si="7"/>
        <v>25.04</v>
      </c>
      <c r="AA13" s="16">
        <f t="shared" si="8"/>
        <v>13.639830046846063</v>
      </c>
      <c r="AB13" s="16">
        <v>5.1420765027322408E-2</v>
      </c>
      <c r="AC13" s="16">
        <f t="shared" si="9"/>
        <v>0.14590025085392155</v>
      </c>
    </row>
    <row r="14" spans="1:29" ht="43.2" x14ac:dyDescent="0.3">
      <c r="A14" s="4">
        <v>7</v>
      </c>
      <c r="B14" s="13" t="s">
        <v>38</v>
      </c>
      <c r="C14" s="26">
        <v>505235</v>
      </c>
      <c r="D14" s="15">
        <v>44621</v>
      </c>
      <c r="E14" s="29">
        <v>98</v>
      </c>
      <c r="F14" s="16">
        <f t="shared" si="0"/>
        <v>32.432432432432435</v>
      </c>
      <c r="G14" s="29">
        <v>45</v>
      </c>
      <c r="H14" s="29">
        <v>33</v>
      </c>
      <c r="I14" s="29">
        <v>45</v>
      </c>
      <c r="J14" s="29">
        <v>3</v>
      </c>
      <c r="K14" s="29">
        <v>10</v>
      </c>
      <c r="L14" s="9">
        <f t="shared" si="1"/>
        <v>136</v>
      </c>
      <c r="M14" s="12">
        <v>10.86</v>
      </c>
      <c r="N14" s="12">
        <v>0.66</v>
      </c>
      <c r="O14" s="12">
        <v>12.19</v>
      </c>
      <c r="P14" s="29">
        <v>6.86</v>
      </c>
      <c r="Q14" s="12">
        <v>0</v>
      </c>
      <c r="R14" s="9">
        <f t="shared" si="2"/>
        <v>30.57</v>
      </c>
      <c r="S14" s="16">
        <f t="shared" si="3"/>
        <v>4.4488060189728493</v>
      </c>
      <c r="T14" s="16">
        <f t="shared" si="4"/>
        <v>2.649656526005888</v>
      </c>
      <c r="U14" s="16">
        <f t="shared" si="5"/>
        <v>3.5492312724893686</v>
      </c>
      <c r="V14" s="12">
        <v>202</v>
      </c>
      <c r="W14" s="9">
        <f t="shared" si="6"/>
        <v>171.43</v>
      </c>
      <c r="X14" s="29">
        <v>26</v>
      </c>
      <c r="Y14" s="29">
        <v>2.4700000000000002</v>
      </c>
      <c r="Z14" s="9">
        <f t="shared" si="7"/>
        <v>28.47</v>
      </c>
      <c r="AA14" s="16">
        <f t="shared" si="8"/>
        <v>16.607361605319955</v>
      </c>
      <c r="AB14" s="16">
        <v>4.0116959064327488E-2</v>
      </c>
      <c r="AC14" s="16">
        <f t="shared" si="9"/>
        <v>0.14238436566828697</v>
      </c>
    </row>
    <row r="15" spans="1:29" ht="43.2" x14ac:dyDescent="0.3">
      <c r="A15" s="4">
        <v>7</v>
      </c>
      <c r="B15" s="19" t="s">
        <v>38</v>
      </c>
      <c r="C15" s="35">
        <v>505236</v>
      </c>
      <c r="D15" s="21">
        <v>44256</v>
      </c>
      <c r="E15" s="30">
        <v>74</v>
      </c>
      <c r="F15" s="23">
        <v>-10.843373493975903</v>
      </c>
      <c r="G15" s="30">
        <v>38</v>
      </c>
      <c r="H15" s="30">
        <v>29</v>
      </c>
      <c r="I15" s="30">
        <v>45</v>
      </c>
      <c r="J15" s="30">
        <v>2</v>
      </c>
      <c r="K15" s="30">
        <v>9</v>
      </c>
      <c r="L15" s="22">
        <f t="shared" si="1"/>
        <v>123</v>
      </c>
      <c r="M15" s="25">
        <v>9.61</v>
      </c>
      <c r="N15" s="25">
        <v>0.69</v>
      </c>
      <c r="O15" s="25">
        <v>10.99</v>
      </c>
      <c r="P15" s="30">
        <v>9.64</v>
      </c>
      <c r="Q15" s="25">
        <v>0</v>
      </c>
      <c r="R15" s="22">
        <f t="shared" si="2"/>
        <v>30.93</v>
      </c>
      <c r="S15" s="23">
        <f t="shared" si="3"/>
        <v>3.9767216294859362</v>
      </c>
      <c r="T15" s="23">
        <f t="shared" si="4"/>
        <v>2.4571613320400907</v>
      </c>
      <c r="U15" s="23">
        <f t="shared" si="5"/>
        <v>3.2169414807630137</v>
      </c>
      <c r="V15" s="25">
        <v>188</v>
      </c>
      <c r="W15" s="22">
        <f t="shared" si="6"/>
        <v>157.07</v>
      </c>
      <c r="X15" s="30">
        <v>13</v>
      </c>
      <c r="Y15" s="30">
        <v>1.81</v>
      </c>
      <c r="Z15" s="22">
        <f t="shared" si="7"/>
        <v>14.81</v>
      </c>
      <c r="AA15" s="23">
        <f t="shared" si="8"/>
        <v>9.4289170433564671</v>
      </c>
      <c r="AB15" s="23">
        <v>6.140127388535032E-2</v>
      </c>
      <c r="AC15" s="16">
        <f t="shared" si="9"/>
        <v>0.19752430493347423</v>
      </c>
    </row>
    <row r="16" spans="1:29" x14ac:dyDescent="0.3">
      <c r="A16" s="9">
        <v>8</v>
      </c>
      <c r="B16" s="36" t="s">
        <v>40</v>
      </c>
      <c r="C16" s="14">
        <v>508807</v>
      </c>
      <c r="D16" s="15">
        <v>45717</v>
      </c>
      <c r="E16" s="11">
        <v>115</v>
      </c>
      <c r="F16" s="16">
        <f>100*(E16-E17)/E17</f>
        <v>4.5454545454545459</v>
      </c>
      <c r="G16" s="11">
        <v>12.54</v>
      </c>
      <c r="H16" s="11">
        <v>5.0999999999999996</v>
      </c>
      <c r="I16" s="11">
        <v>1.64</v>
      </c>
      <c r="J16" s="11">
        <v>0.49</v>
      </c>
      <c r="K16" s="11">
        <v>2.13</v>
      </c>
      <c r="L16" s="9">
        <f t="shared" si="1"/>
        <v>21.9</v>
      </c>
      <c r="M16" s="12">
        <v>0.72</v>
      </c>
      <c r="N16" s="17">
        <v>0</v>
      </c>
      <c r="O16" s="12">
        <v>13.27</v>
      </c>
      <c r="P16" s="17">
        <v>0</v>
      </c>
      <c r="Q16" s="11">
        <v>3.6</v>
      </c>
      <c r="R16" s="9">
        <f t="shared" si="2"/>
        <v>17.59</v>
      </c>
      <c r="S16" s="16">
        <f t="shared" si="3"/>
        <v>1.245025582717453</v>
      </c>
      <c r="T16" s="16">
        <f t="shared" si="4"/>
        <v>0.4110289937464468</v>
      </c>
      <c r="U16" s="16">
        <f t="shared" si="5"/>
        <v>0.82802728823194993</v>
      </c>
      <c r="V16" s="9">
        <v>297</v>
      </c>
      <c r="W16" s="9">
        <f t="shared" si="6"/>
        <v>279.41000000000003</v>
      </c>
      <c r="X16" s="11">
        <v>4</v>
      </c>
      <c r="Y16" s="11">
        <v>37.1</v>
      </c>
      <c r="Z16" s="9">
        <f t="shared" si="7"/>
        <v>41.1</v>
      </c>
      <c r="AA16" s="16">
        <f t="shared" si="8"/>
        <v>14.709566586736337</v>
      </c>
      <c r="AB16" s="16">
        <v>1.3261648745519715E-2</v>
      </c>
      <c r="AC16" s="16">
        <f t="shared" si="9"/>
        <v>1.098100704823733E-2</v>
      </c>
    </row>
    <row r="17" spans="1:29" x14ac:dyDescent="0.3">
      <c r="A17" s="9">
        <v>8</v>
      </c>
      <c r="B17" s="36" t="s">
        <v>40</v>
      </c>
      <c r="C17" s="14">
        <v>508807</v>
      </c>
      <c r="D17" s="15">
        <v>45352</v>
      </c>
      <c r="E17" s="11">
        <v>110</v>
      </c>
      <c r="F17" s="16">
        <f t="shared" ref="F17:F29" si="10">100*(E17-E18)/E18</f>
        <v>-9.0909090909090917</v>
      </c>
      <c r="G17" s="11">
        <v>7.66</v>
      </c>
      <c r="H17" s="11">
        <v>5</v>
      </c>
      <c r="I17" s="11">
        <v>0.66</v>
      </c>
      <c r="J17" s="11">
        <v>0.47</v>
      </c>
      <c r="K17" s="11">
        <v>1.99</v>
      </c>
      <c r="L17" s="9">
        <f t="shared" si="1"/>
        <v>15.780000000000001</v>
      </c>
      <c r="M17" s="12">
        <v>0.96</v>
      </c>
      <c r="N17" s="17">
        <v>0</v>
      </c>
      <c r="O17" s="12">
        <v>12.78</v>
      </c>
      <c r="P17" s="17">
        <v>0</v>
      </c>
      <c r="Q17" s="11">
        <v>2.2999999999999998</v>
      </c>
      <c r="R17" s="9">
        <f t="shared" si="2"/>
        <v>16.04</v>
      </c>
      <c r="S17" s="16">
        <f t="shared" si="3"/>
        <v>0.98379052369077324</v>
      </c>
      <c r="T17" s="16">
        <f t="shared" si="4"/>
        <v>0.38216957605985047</v>
      </c>
      <c r="U17" s="16">
        <f t="shared" si="5"/>
        <v>0.6829800498753118</v>
      </c>
      <c r="V17" s="9">
        <v>262</v>
      </c>
      <c r="W17" s="9">
        <f t="shared" si="6"/>
        <v>245.96</v>
      </c>
      <c r="X17" s="11">
        <v>1</v>
      </c>
      <c r="Y17" s="11">
        <v>41.34</v>
      </c>
      <c r="Z17" s="9">
        <f t="shared" si="7"/>
        <v>42.34</v>
      </c>
      <c r="AA17" s="16">
        <f t="shared" si="8"/>
        <v>17.21418116766954</v>
      </c>
      <c r="AB17" s="16">
        <v>9.3495934959349578E-3</v>
      </c>
      <c r="AC17" s="16">
        <f t="shared" si="9"/>
        <v>6.3855858321675485E-3</v>
      </c>
    </row>
    <row r="18" spans="1:29" x14ac:dyDescent="0.3">
      <c r="A18" s="9">
        <v>8</v>
      </c>
      <c r="B18" s="36" t="s">
        <v>40</v>
      </c>
      <c r="C18" s="14">
        <v>508807</v>
      </c>
      <c r="D18" s="15">
        <v>44986</v>
      </c>
      <c r="E18" s="11">
        <v>121</v>
      </c>
      <c r="F18" s="16">
        <f t="shared" si="10"/>
        <v>-3.2</v>
      </c>
      <c r="G18" s="11">
        <v>4.28</v>
      </c>
      <c r="H18" s="11">
        <v>4.87</v>
      </c>
      <c r="I18" s="11">
        <v>0.73</v>
      </c>
      <c r="J18" s="11">
        <v>0.35</v>
      </c>
      <c r="K18" s="11">
        <v>2.1</v>
      </c>
      <c r="L18" s="9">
        <f t="shared" si="1"/>
        <v>12.33</v>
      </c>
      <c r="M18" s="12">
        <v>0.46</v>
      </c>
      <c r="N18" s="17">
        <v>0</v>
      </c>
      <c r="O18" s="12">
        <v>7.09</v>
      </c>
      <c r="P18" s="17">
        <v>0</v>
      </c>
      <c r="Q18" s="11">
        <v>3.2</v>
      </c>
      <c r="R18" s="9">
        <f t="shared" si="2"/>
        <v>10.75</v>
      </c>
      <c r="S18" s="16">
        <f t="shared" si="3"/>
        <v>1.1469767441860466</v>
      </c>
      <c r="T18" s="16">
        <f t="shared" si="4"/>
        <v>0.55348837209302337</v>
      </c>
      <c r="U18" s="16">
        <f t="shared" si="5"/>
        <v>0.85023255813953491</v>
      </c>
      <c r="V18" s="9">
        <v>226</v>
      </c>
      <c r="W18" s="9">
        <f t="shared" si="6"/>
        <v>215.25</v>
      </c>
      <c r="X18" s="11">
        <v>-1</v>
      </c>
      <c r="Y18" s="11">
        <v>13.18</v>
      </c>
      <c r="Z18" s="9">
        <f t="shared" si="7"/>
        <v>12.18</v>
      </c>
      <c r="AA18" s="16">
        <f t="shared" si="8"/>
        <v>5.6585365853658542</v>
      </c>
      <c r="AB18" s="16">
        <v>1.4883720930232559E-2</v>
      </c>
      <c r="AC18" s="16">
        <f t="shared" si="9"/>
        <v>1.2654624121146566E-2</v>
      </c>
    </row>
    <row r="19" spans="1:29" x14ac:dyDescent="0.3">
      <c r="A19" s="9">
        <v>8</v>
      </c>
      <c r="B19" s="36" t="s">
        <v>40</v>
      </c>
      <c r="C19" s="14">
        <v>508807</v>
      </c>
      <c r="D19" s="15">
        <v>44621</v>
      </c>
      <c r="E19" s="11">
        <v>125</v>
      </c>
      <c r="F19" s="16">
        <f t="shared" si="10"/>
        <v>-8.7591240875912408</v>
      </c>
      <c r="G19" s="11">
        <v>4.32</v>
      </c>
      <c r="H19" s="11">
        <v>5.17</v>
      </c>
      <c r="I19" s="11">
        <v>1.35</v>
      </c>
      <c r="J19" s="11">
        <v>3.6</v>
      </c>
      <c r="K19" s="11">
        <v>1.82</v>
      </c>
      <c r="L19" s="9">
        <f t="shared" si="1"/>
        <v>16.259999999999998</v>
      </c>
      <c r="M19" s="12">
        <v>0.66</v>
      </c>
      <c r="N19" s="17">
        <v>0</v>
      </c>
      <c r="O19" s="12">
        <v>8.0500000000000007</v>
      </c>
      <c r="P19" s="17">
        <v>0</v>
      </c>
      <c r="Q19" s="11">
        <v>1.29</v>
      </c>
      <c r="R19" s="9">
        <f t="shared" si="2"/>
        <v>10</v>
      </c>
      <c r="S19" s="16">
        <f t="shared" si="3"/>
        <v>1.6259999999999999</v>
      </c>
      <c r="T19" s="16">
        <f t="shared" si="4"/>
        <v>1.0119999999999998</v>
      </c>
      <c r="U19" s="16">
        <f t="shared" si="5"/>
        <v>1.319</v>
      </c>
      <c r="V19" s="9">
        <v>217</v>
      </c>
      <c r="W19" s="9">
        <f t="shared" si="6"/>
        <v>207</v>
      </c>
      <c r="X19" s="11">
        <v>-1</v>
      </c>
      <c r="Y19" s="11">
        <v>16.25</v>
      </c>
      <c r="Z19" s="9">
        <f t="shared" si="7"/>
        <v>15.25</v>
      </c>
      <c r="AA19" s="16">
        <f t="shared" si="8"/>
        <v>7.3671497584541061</v>
      </c>
      <c r="AB19" s="16">
        <v>6.2318840579710143E-3</v>
      </c>
      <c r="AC19" s="16">
        <f t="shared" si="9"/>
        <v>8.2198550724637675E-3</v>
      </c>
    </row>
    <row r="20" spans="1:29" x14ac:dyDescent="0.3">
      <c r="A20" s="9">
        <v>8</v>
      </c>
      <c r="B20" s="36" t="s">
        <v>40</v>
      </c>
      <c r="C20" s="14">
        <v>508807</v>
      </c>
      <c r="D20" s="15">
        <v>44256</v>
      </c>
      <c r="E20" s="11">
        <v>137</v>
      </c>
      <c r="F20" s="16">
        <v>16.101694915254239</v>
      </c>
      <c r="G20" s="11">
        <v>5.19</v>
      </c>
      <c r="H20" s="11">
        <v>5.77</v>
      </c>
      <c r="I20" s="11">
        <v>0.37</v>
      </c>
      <c r="J20" s="11">
        <v>0.66</v>
      </c>
      <c r="K20" s="11">
        <v>1.98</v>
      </c>
      <c r="L20" s="9">
        <f t="shared" si="1"/>
        <v>13.97</v>
      </c>
      <c r="M20" s="12">
        <v>1.18</v>
      </c>
      <c r="N20" s="17">
        <v>0</v>
      </c>
      <c r="O20" s="12">
        <v>6.1</v>
      </c>
      <c r="P20" s="17">
        <v>0</v>
      </c>
      <c r="Q20" s="11">
        <v>1.1599999999999999</v>
      </c>
      <c r="R20" s="9">
        <f t="shared" si="2"/>
        <v>8.44</v>
      </c>
      <c r="S20" s="16">
        <f t="shared" si="3"/>
        <v>1.6552132701421802</v>
      </c>
      <c r="T20" s="16">
        <f t="shared" si="4"/>
        <v>0.8056872037914693</v>
      </c>
      <c r="U20" s="16">
        <f t="shared" si="5"/>
        <v>1.2304502369668247</v>
      </c>
      <c r="V20" s="9">
        <v>206</v>
      </c>
      <c r="W20" s="9">
        <f t="shared" si="6"/>
        <v>197.56</v>
      </c>
      <c r="X20" s="11">
        <v>4</v>
      </c>
      <c r="Y20" s="11">
        <v>9.32</v>
      </c>
      <c r="Z20" s="9">
        <f t="shared" si="7"/>
        <v>13.32</v>
      </c>
      <c r="AA20" s="16">
        <f t="shared" si="8"/>
        <v>6.7422555173111967</v>
      </c>
      <c r="AB20" s="16">
        <v>5.8585858585858581E-3</v>
      </c>
      <c r="AC20" s="16">
        <f t="shared" si="9"/>
        <v>7.2086983579874569E-3</v>
      </c>
    </row>
    <row r="21" spans="1:29" ht="72" x14ac:dyDescent="0.3">
      <c r="A21" s="9">
        <v>9</v>
      </c>
      <c r="B21" s="13" t="s">
        <v>41</v>
      </c>
      <c r="C21" s="14">
        <v>531399</v>
      </c>
      <c r="D21" s="15">
        <v>45717</v>
      </c>
      <c r="E21" s="11">
        <v>114</v>
      </c>
      <c r="F21" s="16">
        <f t="shared" si="10"/>
        <v>23.913043478260871</v>
      </c>
      <c r="G21" s="11">
        <v>15</v>
      </c>
      <c r="H21" s="11">
        <v>24.6</v>
      </c>
      <c r="I21" s="11">
        <v>24.6</v>
      </c>
      <c r="J21" s="11">
        <v>0.16</v>
      </c>
      <c r="K21" s="11">
        <v>1.95</v>
      </c>
      <c r="L21" s="9">
        <f t="shared" si="1"/>
        <v>66.31</v>
      </c>
      <c r="M21" s="12">
        <v>14.85</v>
      </c>
      <c r="N21" s="12">
        <v>0</v>
      </c>
      <c r="O21" s="12">
        <v>8.9700000000000006</v>
      </c>
      <c r="P21" s="11">
        <v>8.84</v>
      </c>
      <c r="Q21" s="11">
        <v>0</v>
      </c>
      <c r="R21" s="9">
        <f t="shared" si="2"/>
        <v>32.659999999999997</v>
      </c>
      <c r="S21" s="16">
        <f t="shared" si="3"/>
        <v>2.0303123086344153</v>
      </c>
      <c r="T21" s="16">
        <f t="shared" si="4"/>
        <v>1.5113288426209432</v>
      </c>
      <c r="U21" s="16">
        <f t="shared" si="5"/>
        <v>1.7708205756276794</v>
      </c>
      <c r="V21" s="12">
        <v>96</v>
      </c>
      <c r="W21" s="9">
        <f t="shared" si="6"/>
        <v>63.34</v>
      </c>
      <c r="X21" s="11">
        <v>17</v>
      </c>
      <c r="Y21" s="11">
        <v>0.45</v>
      </c>
      <c r="Z21" s="9">
        <f t="shared" si="7"/>
        <v>17.45</v>
      </c>
      <c r="AA21" s="16">
        <f t="shared" si="8"/>
        <v>27.549731607199242</v>
      </c>
      <c r="AB21" s="16">
        <v>0.53382978723404251</v>
      </c>
      <c r="AC21" s="16">
        <f t="shared" si="9"/>
        <v>0.94531677111698875</v>
      </c>
    </row>
    <row r="22" spans="1:29" ht="72" x14ac:dyDescent="0.3">
      <c r="A22" s="9">
        <v>9</v>
      </c>
      <c r="B22" s="13" t="s">
        <v>41</v>
      </c>
      <c r="C22" s="14">
        <v>531399</v>
      </c>
      <c r="D22" s="15">
        <v>45352</v>
      </c>
      <c r="E22" s="11">
        <v>92</v>
      </c>
      <c r="F22" s="16">
        <f t="shared" si="10"/>
        <v>19.480519480519479</v>
      </c>
      <c r="G22" s="11">
        <v>12.85</v>
      </c>
      <c r="H22" s="11">
        <v>22.9</v>
      </c>
      <c r="I22" s="11">
        <v>22.9</v>
      </c>
      <c r="J22" s="11">
        <v>1.29</v>
      </c>
      <c r="K22" s="11">
        <v>1.84</v>
      </c>
      <c r="L22" s="9">
        <f t="shared" si="1"/>
        <v>61.78</v>
      </c>
      <c r="M22" s="12">
        <v>14.22</v>
      </c>
      <c r="N22" s="12">
        <v>0</v>
      </c>
      <c r="O22" s="12">
        <v>7.49</v>
      </c>
      <c r="P22" s="11">
        <v>14.31</v>
      </c>
      <c r="Q22" s="11">
        <v>0</v>
      </c>
      <c r="R22" s="9">
        <f t="shared" si="2"/>
        <v>36.020000000000003</v>
      </c>
      <c r="S22" s="16">
        <f t="shared" si="3"/>
        <v>1.7151582454192114</v>
      </c>
      <c r="T22" s="16">
        <f t="shared" si="4"/>
        <v>1.3073292615213767</v>
      </c>
      <c r="U22" s="16">
        <f t="shared" si="5"/>
        <v>1.511243753470294</v>
      </c>
      <c r="V22" s="12">
        <v>81</v>
      </c>
      <c r="W22" s="9">
        <f t="shared" si="6"/>
        <v>44.98</v>
      </c>
      <c r="X22" s="11">
        <v>12</v>
      </c>
      <c r="Y22" s="11">
        <v>0.28999999999999998</v>
      </c>
      <c r="Z22" s="9">
        <f t="shared" si="7"/>
        <v>12.29</v>
      </c>
      <c r="AA22" s="16">
        <f t="shared" si="8"/>
        <v>27.323254779902179</v>
      </c>
      <c r="AB22" s="16">
        <v>0.87838709677419358</v>
      </c>
      <c r="AC22" s="16">
        <f t="shared" si="9"/>
        <v>1.3274570131289067</v>
      </c>
    </row>
    <row r="23" spans="1:29" ht="72" x14ac:dyDescent="0.3">
      <c r="A23" s="9">
        <v>9</v>
      </c>
      <c r="B23" s="13" t="s">
        <v>41</v>
      </c>
      <c r="C23" s="14">
        <v>531399</v>
      </c>
      <c r="D23" s="15">
        <v>44986</v>
      </c>
      <c r="E23" s="11">
        <v>77</v>
      </c>
      <c r="F23" s="16">
        <f t="shared" si="10"/>
        <v>60.416666666666664</v>
      </c>
      <c r="G23" s="11">
        <v>14.56</v>
      </c>
      <c r="H23" s="11">
        <v>15.77</v>
      </c>
      <c r="I23" s="11">
        <v>15.77</v>
      </c>
      <c r="J23" s="11">
        <v>0.76</v>
      </c>
      <c r="K23" s="11">
        <v>2.9</v>
      </c>
      <c r="L23" s="9">
        <f t="shared" si="1"/>
        <v>49.759999999999991</v>
      </c>
      <c r="M23" s="12">
        <v>10.210000000000001</v>
      </c>
      <c r="N23" s="12">
        <v>0.28000000000000003</v>
      </c>
      <c r="O23" s="12">
        <v>4.41</v>
      </c>
      <c r="P23" s="11">
        <v>16.73</v>
      </c>
      <c r="Q23" s="11">
        <v>0.11</v>
      </c>
      <c r="R23" s="9">
        <f t="shared" si="2"/>
        <v>31.740000000000002</v>
      </c>
      <c r="S23" s="16">
        <f t="shared" si="3"/>
        <v>1.5677378701953368</v>
      </c>
      <c r="T23" s="16">
        <f t="shared" si="4"/>
        <v>1.0176433522369246</v>
      </c>
      <c r="U23" s="16">
        <f t="shared" si="5"/>
        <v>1.2926906112161307</v>
      </c>
      <c r="V23" s="12">
        <v>71</v>
      </c>
      <c r="W23" s="9">
        <f t="shared" si="6"/>
        <v>39.26</v>
      </c>
      <c r="X23" s="11">
        <v>8</v>
      </c>
      <c r="Y23" s="11">
        <v>0.37</v>
      </c>
      <c r="Z23" s="9">
        <f t="shared" si="7"/>
        <v>8.3699999999999992</v>
      </c>
      <c r="AA23" s="16">
        <f t="shared" si="8"/>
        <v>21.319409067753437</v>
      </c>
      <c r="AB23" s="16">
        <v>1.5522727272727272</v>
      </c>
      <c r="AC23" s="16">
        <f t="shared" si="9"/>
        <v>2.0066083805923118</v>
      </c>
    </row>
    <row r="24" spans="1:29" ht="72" x14ac:dyDescent="0.3">
      <c r="A24" s="9">
        <v>9</v>
      </c>
      <c r="B24" s="13" t="s">
        <v>41</v>
      </c>
      <c r="C24" s="14">
        <v>531399</v>
      </c>
      <c r="D24" s="15">
        <v>44621</v>
      </c>
      <c r="E24" s="11">
        <v>48</v>
      </c>
      <c r="F24" s="16">
        <f t="shared" si="10"/>
        <v>60</v>
      </c>
      <c r="G24" s="11">
        <v>11.22</v>
      </c>
      <c r="H24" s="11">
        <v>9.26</v>
      </c>
      <c r="I24" s="11">
        <v>9.26</v>
      </c>
      <c r="J24" s="11">
        <v>3.04</v>
      </c>
      <c r="K24" s="11">
        <v>6.17</v>
      </c>
      <c r="L24" s="9">
        <f t="shared" si="1"/>
        <v>38.950000000000003</v>
      </c>
      <c r="M24" s="12">
        <v>8.39</v>
      </c>
      <c r="N24" s="12">
        <v>0.43</v>
      </c>
      <c r="O24" s="12">
        <v>3.66</v>
      </c>
      <c r="P24" s="11">
        <v>19.760000000000002</v>
      </c>
      <c r="Q24" s="11">
        <v>0.21</v>
      </c>
      <c r="R24" s="9">
        <f t="shared" si="2"/>
        <v>32.450000000000003</v>
      </c>
      <c r="S24" s="16">
        <f t="shared" si="3"/>
        <v>1.2003081664098614</v>
      </c>
      <c r="T24" s="16">
        <f t="shared" si="4"/>
        <v>0.66440677966101691</v>
      </c>
      <c r="U24" s="16">
        <f t="shared" si="5"/>
        <v>0.93235747303543914</v>
      </c>
      <c r="V24" s="12">
        <v>65</v>
      </c>
      <c r="W24" s="9">
        <f t="shared" si="6"/>
        <v>32.549999999999997</v>
      </c>
      <c r="X24" s="11">
        <v>6</v>
      </c>
      <c r="Y24" s="11">
        <v>0.2</v>
      </c>
      <c r="Z24" s="9">
        <f>X24+Y24</f>
        <v>6.2</v>
      </c>
      <c r="AA24" s="16">
        <f t="shared" si="8"/>
        <v>19.047619047619051</v>
      </c>
      <c r="AB24" s="16">
        <v>1.6015000000000001</v>
      </c>
      <c r="AC24" s="16">
        <f t="shared" si="9"/>
        <v>1.4931704930662559</v>
      </c>
    </row>
    <row r="25" spans="1:29" ht="72" x14ac:dyDescent="0.3">
      <c r="A25" s="22">
        <v>9</v>
      </c>
      <c r="B25" s="19" t="s">
        <v>41</v>
      </c>
      <c r="C25" s="20">
        <v>531399</v>
      </c>
      <c r="D25" s="21">
        <v>44256</v>
      </c>
      <c r="E25" s="24">
        <v>30</v>
      </c>
      <c r="F25" s="23">
        <v>-46.428571428571431</v>
      </c>
      <c r="G25" s="24">
        <v>5.24</v>
      </c>
      <c r="H25" s="24">
        <v>7.54</v>
      </c>
      <c r="I25" s="24">
        <v>7.54</v>
      </c>
      <c r="J25" s="24">
        <v>3.13</v>
      </c>
      <c r="K25" s="24">
        <v>6.31</v>
      </c>
      <c r="L25" s="22">
        <f t="shared" si="1"/>
        <v>29.759999999999998</v>
      </c>
      <c r="M25" s="25">
        <v>3.78</v>
      </c>
      <c r="N25" s="25">
        <v>0.1</v>
      </c>
      <c r="O25" s="25">
        <v>3.61</v>
      </c>
      <c r="P25" s="24">
        <v>14.17</v>
      </c>
      <c r="Q25" s="24">
        <v>0.31</v>
      </c>
      <c r="R25" s="22">
        <f t="shared" si="2"/>
        <v>21.97</v>
      </c>
      <c r="S25" s="23">
        <f t="shared" si="3"/>
        <v>1.354574419663177</v>
      </c>
      <c r="T25" s="23">
        <f t="shared" si="4"/>
        <v>0.82885753299954479</v>
      </c>
      <c r="U25" s="23">
        <f t="shared" si="5"/>
        <v>1.0917159763313609</v>
      </c>
      <c r="V25" s="25">
        <v>54</v>
      </c>
      <c r="W25" s="22">
        <f t="shared" si="6"/>
        <v>32.03</v>
      </c>
      <c r="X25" s="24">
        <v>2</v>
      </c>
      <c r="Y25" s="24">
        <v>0.28999999999999998</v>
      </c>
      <c r="Z25" s="22">
        <f t="shared" si="7"/>
        <v>2.29</v>
      </c>
      <c r="AA25" s="23">
        <f t="shared" si="8"/>
        <v>7.1495472994068052</v>
      </c>
      <c r="AB25" s="23">
        <v>1.3414999999999999</v>
      </c>
      <c r="AC25" s="16">
        <f t="shared" si="9"/>
        <v>1.4645369822485206</v>
      </c>
    </row>
    <row r="26" spans="1:29" ht="86.4" x14ac:dyDescent="0.3">
      <c r="A26" s="9">
        <v>10</v>
      </c>
      <c r="B26" s="44" t="s">
        <v>47</v>
      </c>
      <c r="C26" s="44" t="s">
        <v>42</v>
      </c>
      <c r="D26" s="15">
        <v>45717</v>
      </c>
      <c r="E26" s="11">
        <v>105</v>
      </c>
      <c r="F26" s="16">
        <f t="shared" si="10"/>
        <v>20.689655172413794</v>
      </c>
      <c r="G26" s="11">
        <v>23.06</v>
      </c>
      <c r="H26" s="11">
        <v>11.45</v>
      </c>
      <c r="I26" s="11">
        <v>2.5499999999999998</v>
      </c>
      <c r="J26" s="11">
        <v>0.21</v>
      </c>
      <c r="K26" s="11">
        <v>14.41</v>
      </c>
      <c r="L26" s="9">
        <f t="shared" si="1"/>
        <v>51.679999999999993</v>
      </c>
      <c r="M26" s="12">
        <v>6.7</v>
      </c>
      <c r="N26" s="17">
        <v>0</v>
      </c>
      <c r="O26" s="12">
        <v>26.93</v>
      </c>
      <c r="P26" s="11">
        <v>20.45</v>
      </c>
      <c r="Q26" s="17">
        <v>0</v>
      </c>
      <c r="R26" s="9">
        <f t="shared" si="2"/>
        <v>54.08</v>
      </c>
      <c r="S26" s="16">
        <f t="shared" si="3"/>
        <v>0.95562130177514781</v>
      </c>
      <c r="T26" s="16">
        <f t="shared" si="4"/>
        <v>0.26275887573964485</v>
      </c>
      <c r="U26" s="16">
        <f t="shared" si="5"/>
        <v>0.60919008875739633</v>
      </c>
      <c r="V26" s="12">
        <v>135</v>
      </c>
      <c r="W26" s="9">
        <f t="shared" si="6"/>
        <v>80.92</v>
      </c>
      <c r="X26" s="11">
        <v>15</v>
      </c>
      <c r="Y26" s="11">
        <v>0.72</v>
      </c>
      <c r="Z26" s="9">
        <f t="shared" si="7"/>
        <v>15.72</v>
      </c>
      <c r="AA26" s="16">
        <f t="shared" si="8"/>
        <v>19.426594167078594</v>
      </c>
      <c r="AB26" s="16">
        <v>1.2082608695652173</v>
      </c>
      <c r="AC26" s="16">
        <f t="shared" si="9"/>
        <v>0.73606054637252361</v>
      </c>
    </row>
    <row r="27" spans="1:29" ht="86.4" x14ac:dyDescent="0.3">
      <c r="A27" s="9">
        <v>10</v>
      </c>
      <c r="B27" s="44" t="s">
        <v>47</v>
      </c>
      <c r="C27" s="44" t="s">
        <v>43</v>
      </c>
      <c r="D27" s="15">
        <v>45352</v>
      </c>
      <c r="E27" s="11">
        <v>87</v>
      </c>
      <c r="F27" s="16">
        <f t="shared" si="10"/>
        <v>6.0975609756097562</v>
      </c>
      <c r="G27" s="11">
        <v>17.98</v>
      </c>
      <c r="H27" s="11">
        <v>11.12</v>
      </c>
      <c r="I27" s="11">
        <v>1.1299999999999999</v>
      </c>
      <c r="J27" s="11">
        <v>0.17</v>
      </c>
      <c r="K27" s="11">
        <v>11.53</v>
      </c>
      <c r="L27" s="9">
        <f t="shared" si="1"/>
        <v>41.93</v>
      </c>
      <c r="M27" s="12">
        <v>5.5</v>
      </c>
      <c r="N27" s="17">
        <v>0</v>
      </c>
      <c r="O27" s="12">
        <v>16.399999999999999</v>
      </c>
      <c r="P27" s="11">
        <v>15.47</v>
      </c>
      <c r="Q27" s="17">
        <v>0</v>
      </c>
      <c r="R27" s="9">
        <f t="shared" si="2"/>
        <v>37.369999999999997</v>
      </c>
      <c r="S27" s="16">
        <f t="shared" si="3"/>
        <v>1.122023013112122</v>
      </c>
      <c r="T27" s="16">
        <f t="shared" si="4"/>
        <v>0.33235215413433239</v>
      </c>
      <c r="U27" s="16">
        <f t="shared" si="5"/>
        <v>0.72718758362322722</v>
      </c>
      <c r="V27" s="12">
        <v>109</v>
      </c>
      <c r="W27" s="9">
        <f t="shared" si="6"/>
        <v>71.63</v>
      </c>
      <c r="X27" s="11">
        <v>11</v>
      </c>
      <c r="Y27" s="11">
        <v>0.49</v>
      </c>
      <c r="Z27" s="9">
        <f t="shared" si="7"/>
        <v>11.49</v>
      </c>
      <c r="AA27" s="16">
        <f t="shared" si="8"/>
        <v>16.040765042579928</v>
      </c>
      <c r="AB27" s="16">
        <v>1.1592499999999999</v>
      </c>
      <c r="AC27" s="16">
        <f t="shared" si="9"/>
        <v>0.84299220631522609</v>
      </c>
    </row>
    <row r="28" spans="1:29" ht="86.4" x14ac:dyDescent="0.3">
      <c r="A28" s="9">
        <v>10</v>
      </c>
      <c r="B28" s="44" t="s">
        <v>47</v>
      </c>
      <c r="C28" s="44" t="s">
        <v>44</v>
      </c>
      <c r="D28" s="15">
        <v>44986</v>
      </c>
      <c r="E28" s="11">
        <v>82</v>
      </c>
      <c r="F28" s="16">
        <f t="shared" si="10"/>
        <v>51.851851851851855</v>
      </c>
      <c r="G28" s="11">
        <v>15.49</v>
      </c>
      <c r="H28" s="11">
        <v>13.34</v>
      </c>
      <c r="I28" s="11">
        <v>1.2</v>
      </c>
      <c r="J28" s="11">
        <v>0.08</v>
      </c>
      <c r="K28" s="11">
        <v>7.49</v>
      </c>
      <c r="L28" s="9">
        <f t="shared" si="1"/>
        <v>37.599999999999994</v>
      </c>
      <c r="M28" s="12">
        <v>7.57</v>
      </c>
      <c r="N28" s="17">
        <v>0</v>
      </c>
      <c r="O28" s="12">
        <v>27.72</v>
      </c>
      <c r="P28" s="11">
        <v>14.53</v>
      </c>
      <c r="Q28" s="17">
        <v>0</v>
      </c>
      <c r="R28" s="9">
        <f t="shared" si="2"/>
        <v>49.82</v>
      </c>
      <c r="S28" s="16">
        <f t="shared" si="3"/>
        <v>0.7547169811320753</v>
      </c>
      <c r="T28" s="16">
        <f t="shared" si="4"/>
        <v>0.29345644319550368</v>
      </c>
      <c r="U28" s="16">
        <f t="shared" si="5"/>
        <v>0.52408671216378955</v>
      </c>
      <c r="V28" s="12">
        <v>92</v>
      </c>
      <c r="W28" s="9">
        <f t="shared" si="6"/>
        <v>42.18</v>
      </c>
      <c r="X28" s="11">
        <v>10</v>
      </c>
      <c r="Y28" s="11">
        <v>0.38</v>
      </c>
      <c r="Z28" s="9">
        <f t="shared" si="7"/>
        <v>10.38</v>
      </c>
      <c r="AA28" s="16">
        <f t="shared" si="8"/>
        <v>24.608819345661452</v>
      </c>
      <c r="AB28" s="16">
        <v>1.0314285714285714</v>
      </c>
      <c r="AC28" s="16">
        <f t="shared" si="9"/>
        <v>0.54055800883179428</v>
      </c>
    </row>
    <row r="29" spans="1:29" ht="86.4" x14ac:dyDescent="0.3">
      <c r="A29" s="9">
        <v>10</v>
      </c>
      <c r="B29" s="44" t="s">
        <v>47</v>
      </c>
      <c r="C29" s="44" t="s">
        <v>45</v>
      </c>
      <c r="D29" s="15">
        <v>44621</v>
      </c>
      <c r="E29" s="11">
        <v>54</v>
      </c>
      <c r="F29" s="16">
        <f t="shared" si="10"/>
        <v>68.75</v>
      </c>
      <c r="G29" s="11">
        <v>10.210000000000001</v>
      </c>
      <c r="H29" s="11">
        <v>13.99</v>
      </c>
      <c r="I29" s="11">
        <v>0.99</v>
      </c>
      <c r="J29" s="11">
        <v>0.1</v>
      </c>
      <c r="K29" s="11">
        <v>3.34</v>
      </c>
      <c r="L29" s="9">
        <f t="shared" si="1"/>
        <v>28.630000000000003</v>
      </c>
      <c r="M29" s="12">
        <v>7.09</v>
      </c>
      <c r="N29" s="17">
        <v>0</v>
      </c>
      <c r="O29" s="12">
        <v>22.36</v>
      </c>
      <c r="P29" s="11">
        <v>8.15</v>
      </c>
      <c r="Q29" s="17">
        <v>0</v>
      </c>
      <c r="R29" s="9">
        <f t="shared" si="2"/>
        <v>37.6</v>
      </c>
      <c r="S29" s="16">
        <f t="shared" si="3"/>
        <v>0.76143617021276599</v>
      </c>
      <c r="T29" s="16">
        <f t="shared" si="4"/>
        <v>0.40106382978723409</v>
      </c>
      <c r="U29" s="16">
        <f t="shared" si="5"/>
        <v>0.58125000000000004</v>
      </c>
      <c r="V29" s="12">
        <v>71</v>
      </c>
      <c r="W29" s="9">
        <f t="shared" si="6"/>
        <v>33.4</v>
      </c>
      <c r="X29" s="11">
        <v>6</v>
      </c>
      <c r="Y29" s="11">
        <v>0.13</v>
      </c>
      <c r="Z29" s="9">
        <f t="shared" si="7"/>
        <v>6.13</v>
      </c>
      <c r="AA29" s="16">
        <f t="shared" si="8"/>
        <v>18.353293413173652</v>
      </c>
      <c r="AB29" s="16">
        <v>1.4752941176470586</v>
      </c>
      <c r="AC29" s="16">
        <f t="shared" si="9"/>
        <v>0.8575147058823529</v>
      </c>
    </row>
    <row r="30" spans="1:29" ht="86.4" x14ac:dyDescent="0.3">
      <c r="A30" s="9">
        <v>10</v>
      </c>
      <c r="B30" s="44" t="s">
        <v>47</v>
      </c>
      <c r="C30" s="44" t="s">
        <v>46</v>
      </c>
      <c r="D30" s="15">
        <v>44256</v>
      </c>
      <c r="E30" s="11">
        <v>32</v>
      </c>
      <c r="F30" s="16">
        <v>45.454545454545453</v>
      </c>
      <c r="G30" s="11">
        <v>9.67</v>
      </c>
      <c r="H30" s="11">
        <v>4.88</v>
      </c>
      <c r="I30" s="11">
        <v>0.93</v>
      </c>
      <c r="J30" s="11">
        <v>0.24</v>
      </c>
      <c r="K30" s="11">
        <v>2.4</v>
      </c>
      <c r="L30" s="9">
        <f t="shared" si="1"/>
        <v>18.12</v>
      </c>
      <c r="M30" s="12">
        <v>3.69</v>
      </c>
      <c r="N30" s="17">
        <v>0</v>
      </c>
      <c r="O30" s="12">
        <v>17.64</v>
      </c>
      <c r="P30" s="11">
        <v>5.28</v>
      </c>
      <c r="Q30" s="17">
        <v>0</v>
      </c>
      <c r="R30" s="9">
        <f t="shared" si="2"/>
        <v>26.610000000000003</v>
      </c>
      <c r="S30" s="16">
        <f t="shared" si="3"/>
        <v>0.6809470124013528</v>
      </c>
      <c r="T30" s="16">
        <f t="shared" si="4"/>
        <v>0.22735813603908306</v>
      </c>
      <c r="U30" s="16">
        <f t="shared" si="5"/>
        <v>0.45415257422021793</v>
      </c>
      <c r="V30" s="12">
        <v>56</v>
      </c>
      <c r="W30" s="9">
        <f t="shared" si="6"/>
        <v>29.389999999999997</v>
      </c>
      <c r="X30" s="11">
        <v>3</v>
      </c>
      <c r="Y30" s="11">
        <v>0.09</v>
      </c>
      <c r="Z30" s="9">
        <f t="shared" si="7"/>
        <v>3.09</v>
      </c>
      <c r="AA30" s="16">
        <f t="shared" si="8"/>
        <v>10.513780197346037</v>
      </c>
      <c r="AB30" s="16">
        <v>1.6900000000000002</v>
      </c>
      <c r="AC30" s="16">
        <f t="shared" si="9"/>
        <v>0.76751785043216836</v>
      </c>
    </row>
    <row r="31" spans="1:29" x14ac:dyDescent="0.3">
      <c r="B31" s="40"/>
      <c r="C31" s="41"/>
      <c r="D31" s="34"/>
      <c r="E31" s="8"/>
      <c r="F31" s="43"/>
      <c r="G31" s="42"/>
      <c r="H31" s="42"/>
      <c r="I31" s="42"/>
      <c r="J31" s="42"/>
      <c r="K31" s="42"/>
      <c r="M31" s="10"/>
      <c r="N31" s="10"/>
      <c r="O31" s="10"/>
      <c r="P31" s="42"/>
      <c r="Q31" s="42"/>
      <c r="S31" s="7"/>
      <c r="T31" s="7"/>
      <c r="U31" s="7"/>
      <c r="V31" s="10"/>
      <c r="X31" s="42"/>
      <c r="Y31" s="42"/>
      <c r="AA31" s="7"/>
      <c r="AB31" s="7"/>
      <c r="AC31" s="7"/>
    </row>
    <row r="32" spans="1:29" x14ac:dyDescent="0.3">
      <c r="B32" s="5"/>
      <c r="C32" s="6"/>
      <c r="D32" s="34"/>
      <c r="E32" s="8"/>
      <c r="F32" s="7"/>
    </row>
    <row r="33" spans="1:19" x14ac:dyDescent="0.3">
      <c r="B33" s="84" t="s">
        <v>36</v>
      </c>
      <c r="C33" s="84"/>
      <c r="D33" s="84"/>
      <c r="E33" s="84"/>
      <c r="F33" s="84"/>
      <c r="G33" s="84"/>
      <c r="H33" s="84"/>
      <c r="I33" s="84"/>
    </row>
    <row r="35" spans="1:19" ht="57.6" x14ac:dyDescent="0.3">
      <c r="A35" s="1" t="s">
        <v>0</v>
      </c>
      <c r="B35" s="9" t="s">
        <v>1</v>
      </c>
      <c r="C35" s="9" t="s">
        <v>39</v>
      </c>
      <c r="D35" s="9" t="s">
        <v>3</v>
      </c>
      <c r="E35" s="9" t="s">
        <v>30</v>
      </c>
      <c r="F35" s="9" t="s">
        <v>15</v>
      </c>
      <c r="G35" s="9" t="s">
        <v>16</v>
      </c>
      <c r="H35" s="9" t="s">
        <v>31</v>
      </c>
      <c r="I35" s="9" t="s">
        <v>32</v>
      </c>
      <c r="J35" s="9" t="s">
        <v>33</v>
      </c>
      <c r="K35" s="9" t="s">
        <v>34</v>
      </c>
      <c r="L35" s="9" t="s">
        <v>35</v>
      </c>
      <c r="M35" s="9" t="s">
        <v>27</v>
      </c>
    </row>
    <row r="36" spans="1:19" ht="43.2" x14ac:dyDescent="0.3">
      <c r="A36" s="4">
        <v>6</v>
      </c>
      <c r="B36" s="13" t="s">
        <v>29</v>
      </c>
      <c r="C36" s="31">
        <v>505893</v>
      </c>
      <c r="D36" s="15">
        <v>45717</v>
      </c>
      <c r="E36" s="29">
        <v>2.78</v>
      </c>
      <c r="F36" s="29">
        <v>4.87</v>
      </c>
      <c r="G36" s="17">
        <v>0</v>
      </c>
      <c r="H36" s="29">
        <v>0.01</v>
      </c>
      <c r="I36" s="9">
        <f>SUM(E36:H36)</f>
        <v>7.66</v>
      </c>
      <c r="J36" s="29">
        <v>2</v>
      </c>
      <c r="K36" s="29">
        <v>28</v>
      </c>
      <c r="L36" s="9">
        <f>J36+K36</f>
        <v>30</v>
      </c>
      <c r="M36" s="16">
        <f>I36/L36</f>
        <v>0.25533333333333336</v>
      </c>
      <c r="S36" s="7"/>
    </row>
    <row r="37" spans="1:19" ht="43.2" x14ac:dyDescent="0.3">
      <c r="A37" s="4">
        <v>6</v>
      </c>
      <c r="B37" s="13" t="s">
        <v>29</v>
      </c>
      <c r="C37" s="31">
        <v>505894</v>
      </c>
      <c r="D37" s="15">
        <v>45352</v>
      </c>
      <c r="E37" s="29">
        <v>1.97</v>
      </c>
      <c r="F37" s="29">
        <v>2.12</v>
      </c>
      <c r="G37" s="17">
        <v>0</v>
      </c>
      <c r="H37" s="29">
        <v>0</v>
      </c>
      <c r="I37" s="9">
        <f t="shared" ref="I37:I60" si="11">SUM(E37:H37)</f>
        <v>4.09</v>
      </c>
      <c r="J37" s="29">
        <v>2</v>
      </c>
      <c r="K37" s="29">
        <v>22</v>
      </c>
      <c r="L37" s="9">
        <f t="shared" ref="L37:L60" si="12">J37+K37</f>
        <v>24</v>
      </c>
      <c r="M37" s="16">
        <f t="shared" ref="M37:M60" si="13">I37/L37</f>
        <v>0.17041666666666666</v>
      </c>
    </row>
    <row r="38" spans="1:19" ht="43.2" x14ac:dyDescent="0.3">
      <c r="A38" s="4">
        <v>6</v>
      </c>
      <c r="B38" s="13" t="s">
        <v>29</v>
      </c>
      <c r="C38" s="31">
        <v>505895</v>
      </c>
      <c r="D38" s="15">
        <v>44986</v>
      </c>
      <c r="E38" s="29">
        <v>1.69</v>
      </c>
      <c r="F38" s="29">
        <v>2.15</v>
      </c>
      <c r="G38" s="17">
        <v>0</v>
      </c>
      <c r="H38" s="29">
        <v>0</v>
      </c>
      <c r="I38" s="9">
        <f t="shared" si="11"/>
        <v>3.84</v>
      </c>
      <c r="J38" s="29">
        <v>2</v>
      </c>
      <c r="K38" s="29">
        <v>17</v>
      </c>
      <c r="L38" s="9">
        <f t="shared" si="12"/>
        <v>19</v>
      </c>
      <c r="M38" s="16">
        <f t="shared" si="13"/>
        <v>0.20210526315789473</v>
      </c>
    </row>
    <row r="39" spans="1:19" ht="43.2" x14ac:dyDescent="0.3">
      <c r="A39" s="4">
        <v>6</v>
      </c>
      <c r="B39" s="13" t="s">
        <v>29</v>
      </c>
      <c r="C39" s="31">
        <v>505896</v>
      </c>
      <c r="D39" s="15">
        <v>44621</v>
      </c>
      <c r="E39" s="29">
        <v>2.1</v>
      </c>
      <c r="F39" s="29">
        <v>4.3499999999999996</v>
      </c>
      <c r="G39" s="17">
        <v>0</v>
      </c>
      <c r="H39" s="29">
        <v>0.01</v>
      </c>
      <c r="I39" s="9">
        <f t="shared" si="11"/>
        <v>6.4599999999999991</v>
      </c>
      <c r="J39" s="29">
        <v>2</v>
      </c>
      <c r="K39" s="29">
        <v>13</v>
      </c>
      <c r="L39" s="9">
        <f t="shared" si="12"/>
        <v>15</v>
      </c>
      <c r="M39" s="16">
        <f t="shared" si="13"/>
        <v>0.43066666666666659</v>
      </c>
    </row>
    <row r="40" spans="1:19" ht="43.2" x14ac:dyDescent="0.3">
      <c r="A40" s="4">
        <v>6</v>
      </c>
      <c r="B40" s="13" t="s">
        <v>29</v>
      </c>
      <c r="C40" s="31">
        <v>505897</v>
      </c>
      <c r="D40" s="15">
        <v>44256</v>
      </c>
      <c r="E40" s="29">
        <v>0.99</v>
      </c>
      <c r="F40" s="29">
        <v>2.61</v>
      </c>
      <c r="G40" s="17">
        <v>0</v>
      </c>
      <c r="H40" s="29">
        <v>0</v>
      </c>
      <c r="I40" s="9">
        <f t="shared" si="11"/>
        <v>3.5999999999999996</v>
      </c>
      <c r="J40" s="29">
        <v>2</v>
      </c>
      <c r="K40" s="29">
        <v>10</v>
      </c>
      <c r="L40" s="9">
        <f t="shared" si="12"/>
        <v>12</v>
      </c>
      <c r="M40" s="16">
        <f t="shared" si="13"/>
        <v>0.3</v>
      </c>
    </row>
    <row r="41" spans="1:19" ht="43.2" x14ac:dyDescent="0.3">
      <c r="A41" s="4">
        <v>7</v>
      </c>
      <c r="B41" s="13" t="s">
        <v>38</v>
      </c>
      <c r="C41" s="32">
        <v>505232</v>
      </c>
      <c r="D41" s="15">
        <v>45717</v>
      </c>
      <c r="E41" s="27">
        <v>0.31</v>
      </c>
      <c r="F41" s="33">
        <v>7.8</v>
      </c>
      <c r="G41" s="27">
        <v>0</v>
      </c>
      <c r="H41" s="27">
        <v>0</v>
      </c>
      <c r="I41" s="16">
        <f t="shared" si="11"/>
        <v>8.11</v>
      </c>
      <c r="J41" s="27">
        <v>4</v>
      </c>
      <c r="K41" s="33">
        <v>215</v>
      </c>
      <c r="L41" s="16">
        <f t="shared" si="12"/>
        <v>219</v>
      </c>
      <c r="M41" s="16">
        <f t="shared" si="13"/>
        <v>3.7031963470319632E-2</v>
      </c>
    </row>
    <row r="42" spans="1:19" ht="43.2" x14ac:dyDescent="0.3">
      <c r="A42" s="4">
        <v>7</v>
      </c>
      <c r="B42" s="13" t="s">
        <v>38</v>
      </c>
      <c r="C42" s="32">
        <v>505233</v>
      </c>
      <c r="D42" s="15">
        <v>45352</v>
      </c>
      <c r="E42" s="27">
        <v>0</v>
      </c>
      <c r="F42" s="33">
        <v>6.94</v>
      </c>
      <c r="G42" s="27">
        <v>0</v>
      </c>
      <c r="H42" s="27">
        <v>0</v>
      </c>
      <c r="I42" s="16">
        <f t="shared" si="11"/>
        <v>6.94</v>
      </c>
      <c r="J42" s="27">
        <v>2</v>
      </c>
      <c r="K42" s="33">
        <v>198</v>
      </c>
      <c r="L42" s="16">
        <f t="shared" si="12"/>
        <v>200</v>
      </c>
      <c r="M42" s="16">
        <f t="shared" si="13"/>
        <v>3.4700000000000002E-2</v>
      </c>
    </row>
    <row r="43" spans="1:19" ht="43.2" x14ac:dyDescent="0.3">
      <c r="A43" s="4">
        <v>7</v>
      </c>
      <c r="B43" s="13" t="s">
        <v>38</v>
      </c>
      <c r="C43" s="32">
        <v>505234</v>
      </c>
      <c r="D43" s="15">
        <v>44986</v>
      </c>
      <c r="E43" s="27">
        <v>0</v>
      </c>
      <c r="F43" s="33">
        <v>9.41</v>
      </c>
      <c r="G43" s="27">
        <v>0</v>
      </c>
      <c r="H43" s="27">
        <v>0</v>
      </c>
      <c r="I43" s="16">
        <f t="shared" si="11"/>
        <v>9.41</v>
      </c>
      <c r="J43" s="27">
        <v>2</v>
      </c>
      <c r="K43" s="33">
        <v>181</v>
      </c>
      <c r="L43" s="16">
        <f t="shared" si="12"/>
        <v>183</v>
      </c>
      <c r="M43" s="16">
        <f t="shared" si="13"/>
        <v>5.1420765027322408E-2</v>
      </c>
    </row>
    <row r="44" spans="1:19" ht="43.2" x14ac:dyDescent="0.3">
      <c r="A44" s="4">
        <v>7</v>
      </c>
      <c r="B44" s="13" t="s">
        <v>38</v>
      </c>
      <c r="C44" s="32">
        <v>505235</v>
      </c>
      <c r="D44" s="15">
        <v>44621</v>
      </c>
      <c r="E44" s="27">
        <v>0</v>
      </c>
      <c r="F44" s="33">
        <v>6.86</v>
      </c>
      <c r="G44" s="27">
        <v>0</v>
      </c>
      <c r="H44" s="27">
        <v>0</v>
      </c>
      <c r="I44" s="16">
        <f t="shared" si="11"/>
        <v>6.86</v>
      </c>
      <c r="J44" s="27">
        <v>2</v>
      </c>
      <c r="K44" s="33">
        <v>169</v>
      </c>
      <c r="L44" s="16">
        <f t="shared" si="12"/>
        <v>171</v>
      </c>
      <c r="M44" s="16">
        <f t="shared" si="13"/>
        <v>4.0116959064327488E-2</v>
      </c>
    </row>
    <row r="45" spans="1:19" ht="43.2" x14ac:dyDescent="0.3">
      <c r="A45" s="4">
        <v>7</v>
      </c>
      <c r="B45" s="19" t="s">
        <v>38</v>
      </c>
      <c r="C45" s="37">
        <v>505236</v>
      </c>
      <c r="D45" s="21">
        <v>44256</v>
      </c>
      <c r="E45" s="38">
        <v>0</v>
      </c>
      <c r="F45" s="39">
        <v>9.64</v>
      </c>
      <c r="G45" s="38">
        <v>0</v>
      </c>
      <c r="H45" s="38">
        <v>0</v>
      </c>
      <c r="I45" s="23">
        <f t="shared" si="11"/>
        <v>9.64</v>
      </c>
      <c r="J45" s="38">
        <v>2</v>
      </c>
      <c r="K45" s="39">
        <v>155</v>
      </c>
      <c r="L45" s="23">
        <f t="shared" si="12"/>
        <v>157</v>
      </c>
      <c r="M45" s="23">
        <f t="shared" si="13"/>
        <v>6.140127388535032E-2</v>
      </c>
    </row>
    <row r="46" spans="1:19" x14ac:dyDescent="0.3">
      <c r="A46" s="9">
        <v>8</v>
      </c>
      <c r="B46" s="36" t="s">
        <v>40</v>
      </c>
      <c r="C46" s="14">
        <v>508807</v>
      </c>
      <c r="D46" s="15">
        <v>45717</v>
      </c>
      <c r="E46" s="9">
        <v>0</v>
      </c>
      <c r="F46" s="11">
        <v>0</v>
      </c>
      <c r="G46" s="11">
        <v>3.6</v>
      </c>
      <c r="H46" s="17">
        <v>0.1</v>
      </c>
      <c r="I46" s="16">
        <f t="shared" si="11"/>
        <v>3.7</v>
      </c>
      <c r="J46" s="11">
        <v>6</v>
      </c>
      <c r="K46" s="12">
        <v>273</v>
      </c>
      <c r="L46" s="16">
        <f t="shared" si="12"/>
        <v>279</v>
      </c>
      <c r="M46" s="16">
        <f t="shared" si="13"/>
        <v>1.3261648745519715E-2</v>
      </c>
    </row>
    <row r="47" spans="1:19" x14ac:dyDescent="0.3">
      <c r="A47" s="9">
        <v>8</v>
      </c>
      <c r="B47" s="36" t="s">
        <v>40</v>
      </c>
      <c r="C47" s="14">
        <v>508807</v>
      </c>
      <c r="D47" s="15">
        <v>45352</v>
      </c>
      <c r="E47" s="9">
        <v>0</v>
      </c>
      <c r="F47" s="11">
        <v>0</v>
      </c>
      <c r="G47" s="11">
        <v>2.2999999999999998</v>
      </c>
      <c r="H47" s="11">
        <v>0</v>
      </c>
      <c r="I47" s="16">
        <f t="shared" si="11"/>
        <v>2.2999999999999998</v>
      </c>
      <c r="J47" s="11">
        <v>6</v>
      </c>
      <c r="K47" s="12">
        <v>240</v>
      </c>
      <c r="L47" s="16">
        <f t="shared" si="12"/>
        <v>246</v>
      </c>
      <c r="M47" s="16">
        <f t="shared" si="13"/>
        <v>9.3495934959349578E-3</v>
      </c>
    </row>
    <row r="48" spans="1:19" x14ac:dyDescent="0.3">
      <c r="A48" s="9">
        <v>8</v>
      </c>
      <c r="B48" s="36" t="s">
        <v>40</v>
      </c>
      <c r="C48" s="14">
        <v>508807</v>
      </c>
      <c r="D48" s="15">
        <v>44986</v>
      </c>
      <c r="E48" s="9">
        <v>0</v>
      </c>
      <c r="F48" s="11">
        <v>0</v>
      </c>
      <c r="G48" s="11">
        <v>3.2</v>
      </c>
      <c r="H48" s="11">
        <v>0</v>
      </c>
      <c r="I48" s="16">
        <f t="shared" si="11"/>
        <v>3.2</v>
      </c>
      <c r="J48" s="11">
        <v>6</v>
      </c>
      <c r="K48" s="12">
        <v>209</v>
      </c>
      <c r="L48" s="16">
        <f t="shared" si="12"/>
        <v>215</v>
      </c>
      <c r="M48" s="16">
        <f t="shared" si="13"/>
        <v>1.4883720930232559E-2</v>
      </c>
    </row>
    <row r="49" spans="1:13" x14ac:dyDescent="0.3">
      <c r="A49" s="9">
        <v>8</v>
      </c>
      <c r="B49" s="36" t="s">
        <v>40</v>
      </c>
      <c r="C49" s="14">
        <v>508807</v>
      </c>
      <c r="D49" s="15">
        <v>44621</v>
      </c>
      <c r="E49" s="9">
        <v>0</v>
      </c>
      <c r="F49" s="11">
        <v>0</v>
      </c>
      <c r="G49" s="11">
        <v>1.29</v>
      </c>
      <c r="H49" s="11">
        <v>0</v>
      </c>
      <c r="I49" s="16">
        <f t="shared" si="11"/>
        <v>1.29</v>
      </c>
      <c r="J49" s="11">
        <v>6</v>
      </c>
      <c r="K49" s="12">
        <v>201</v>
      </c>
      <c r="L49" s="16">
        <f t="shared" si="12"/>
        <v>207</v>
      </c>
      <c r="M49" s="16">
        <f t="shared" si="13"/>
        <v>6.2318840579710143E-3</v>
      </c>
    </row>
    <row r="50" spans="1:13" x14ac:dyDescent="0.3">
      <c r="A50" s="9">
        <v>8</v>
      </c>
      <c r="B50" s="36" t="s">
        <v>40</v>
      </c>
      <c r="C50" s="14">
        <v>508807</v>
      </c>
      <c r="D50" s="15">
        <v>44256</v>
      </c>
      <c r="E50" s="9">
        <v>0</v>
      </c>
      <c r="F50" s="11">
        <v>0</v>
      </c>
      <c r="G50" s="11">
        <v>1.1599999999999999</v>
      </c>
      <c r="H50" s="11">
        <v>0</v>
      </c>
      <c r="I50" s="16">
        <f t="shared" si="11"/>
        <v>1.1599999999999999</v>
      </c>
      <c r="J50" s="11">
        <v>6</v>
      </c>
      <c r="K50" s="12">
        <v>192</v>
      </c>
      <c r="L50" s="16">
        <f t="shared" si="12"/>
        <v>198</v>
      </c>
      <c r="M50" s="16">
        <f t="shared" si="13"/>
        <v>5.8585858585858581E-3</v>
      </c>
    </row>
    <row r="51" spans="1:13" ht="72" x14ac:dyDescent="0.3">
      <c r="A51" s="9">
        <v>9</v>
      </c>
      <c r="B51" s="13" t="s">
        <v>41</v>
      </c>
      <c r="C51" s="14">
        <v>531399</v>
      </c>
      <c r="D51" s="15">
        <v>45717</v>
      </c>
      <c r="E51" s="11">
        <v>16.25</v>
      </c>
      <c r="F51" s="11">
        <v>8.84</v>
      </c>
      <c r="G51" s="11">
        <v>0</v>
      </c>
      <c r="H51" s="11">
        <v>0</v>
      </c>
      <c r="I51" s="16">
        <f t="shared" si="11"/>
        <v>25.09</v>
      </c>
      <c r="J51" s="9">
        <v>10</v>
      </c>
      <c r="K51" s="9">
        <v>37</v>
      </c>
      <c r="L51" s="9">
        <f t="shared" si="12"/>
        <v>47</v>
      </c>
      <c r="M51" s="16">
        <f t="shared" si="13"/>
        <v>0.53382978723404251</v>
      </c>
    </row>
    <row r="52" spans="1:13" ht="72" x14ac:dyDescent="0.3">
      <c r="A52" s="9">
        <v>9</v>
      </c>
      <c r="B52" s="13" t="s">
        <v>41</v>
      </c>
      <c r="C52" s="14">
        <v>531399</v>
      </c>
      <c r="D52" s="15">
        <v>45352</v>
      </c>
      <c r="E52" s="11">
        <v>12.92</v>
      </c>
      <c r="F52" s="11">
        <v>14.31</v>
      </c>
      <c r="G52" s="11">
        <v>0</v>
      </c>
      <c r="H52" s="11">
        <v>0</v>
      </c>
      <c r="I52" s="16">
        <f t="shared" si="11"/>
        <v>27.23</v>
      </c>
      <c r="J52" s="9">
        <v>8</v>
      </c>
      <c r="K52" s="9">
        <v>23</v>
      </c>
      <c r="L52" s="9">
        <f t="shared" si="12"/>
        <v>31</v>
      </c>
      <c r="M52" s="16">
        <f t="shared" si="13"/>
        <v>0.87838709677419358</v>
      </c>
    </row>
    <row r="53" spans="1:13" ht="72" x14ac:dyDescent="0.3">
      <c r="A53" s="9">
        <v>9</v>
      </c>
      <c r="B53" s="13" t="s">
        <v>41</v>
      </c>
      <c r="C53" s="14">
        <v>531399</v>
      </c>
      <c r="D53" s="15">
        <v>44986</v>
      </c>
      <c r="E53" s="11">
        <v>17.309999999999999</v>
      </c>
      <c r="F53" s="11">
        <v>16.73</v>
      </c>
      <c r="G53" s="11">
        <v>0.11</v>
      </c>
      <c r="H53" s="11">
        <v>0</v>
      </c>
      <c r="I53" s="16">
        <f t="shared" si="11"/>
        <v>34.15</v>
      </c>
      <c r="J53" s="9">
        <v>8</v>
      </c>
      <c r="K53" s="9">
        <v>14</v>
      </c>
      <c r="L53" s="9">
        <f t="shared" si="12"/>
        <v>22</v>
      </c>
      <c r="M53" s="16">
        <f t="shared" si="13"/>
        <v>1.5522727272727272</v>
      </c>
    </row>
    <row r="54" spans="1:13" ht="72" x14ac:dyDescent="0.3">
      <c r="A54" s="9">
        <v>9</v>
      </c>
      <c r="B54" s="13" t="s">
        <v>41</v>
      </c>
      <c r="C54" s="14">
        <v>531399</v>
      </c>
      <c r="D54" s="15">
        <v>44621</v>
      </c>
      <c r="E54" s="11">
        <v>12.05</v>
      </c>
      <c r="F54" s="11">
        <v>19.760000000000002</v>
      </c>
      <c r="G54" s="11">
        <v>0.21</v>
      </c>
      <c r="H54" s="11">
        <v>0.01</v>
      </c>
      <c r="I54" s="16">
        <f t="shared" si="11"/>
        <v>32.03</v>
      </c>
      <c r="J54" s="9">
        <v>8</v>
      </c>
      <c r="K54" s="9">
        <v>12</v>
      </c>
      <c r="L54" s="9">
        <f t="shared" si="12"/>
        <v>20</v>
      </c>
      <c r="M54" s="16">
        <f t="shared" si="13"/>
        <v>1.6015000000000001</v>
      </c>
    </row>
    <row r="55" spans="1:13" ht="72" x14ac:dyDescent="0.3">
      <c r="A55" s="9">
        <v>9</v>
      </c>
      <c r="B55" s="13" t="s">
        <v>41</v>
      </c>
      <c r="C55" s="14">
        <v>531399</v>
      </c>
      <c r="D55" s="15">
        <v>44256</v>
      </c>
      <c r="E55" s="11">
        <v>12.34</v>
      </c>
      <c r="F55" s="11">
        <v>14.17</v>
      </c>
      <c r="G55" s="11">
        <v>0.31</v>
      </c>
      <c r="H55" s="11">
        <v>0.01</v>
      </c>
      <c r="I55" s="16">
        <f t="shared" si="11"/>
        <v>26.83</v>
      </c>
      <c r="J55" s="9">
        <v>8</v>
      </c>
      <c r="K55" s="9">
        <v>12</v>
      </c>
      <c r="L55" s="9">
        <f t="shared" si="12"/>
        <v>20</v>
      </c>
      <c r="M55" s="16">
        <f t="shared" si="13"/>
        <v>1.3414999999999999</v>
      </c>
    </row>
    <row r="56" spans="1:13" ht="86.4" x14ac:dyDescent="0.3">
      <c r="A56" s="9">
        <v>10</v>
      </c>
      <c r="B56" s="44" t="s">
        <v>47</v>
      </c>
      <c r="C56" s="44" t="s">
        <v>42</v>
      </c>
      <c r="D56" s="15">
        <v>45717</v>
      </c>
      <c r="E56" s="28">
        <v>35.130000000000003</v>
      </c>
      <c r="F56" s="28">
        <v>20.45</v>
      </c>
      <c r="G56" s="27">
        <v>0</v>
      </c>
      <c r="H56" s="27">
        <v>0</v>
      </c>
      <c r="I56" s="16">
        <f t="shared" si="11"/>
        <v>55.58</v>
      </c>
      <c r="J56" s="16">
        <v>13</v>
      </c>
      <c r="K56" s="16">
        <v>33</v>
      </c>
      <c r="L56" s="16">
        <f t="shared" si="12"/>
        <v>46</v>
      </c>
      <c r="M56" s="16">
        <f t="shared" si="13"/>
        <v>1.2082608695652173</v>
      </c>
    </row>
    <row r="57" spans="1:13" ht="86.4" x14ac:dyDescent="0.3">
      <c r="A57" s="9">
        <v>10</v>
      </c>
      <c r="B57" s="44" t="s">
        <v>47</v>
      </c>
      <c r="C57" s="44" t="s">
        <v>43</v>
      </c>
      <c r="D57" s="15">
        <v>45352</v>
      </c>
      <c r="E57" s="28">
        <v>30.9</v>
      </c>
      <c r="F57" s="28">
        <v>15.47</v>
      </c>
      <c r="G57" s="27">
        <v>0</v>
      </c>
      <c r="H57" s="27">
        <v>0</v>
      </c>
      <c r="I57" s="16">
        <f t="shared" si="11"/>
        <v>46.37</v>
      </c>
      <c r="J57" s="16">
        <v>13</v>
      </c>
      <c r="K57" s="16">
        <v>27</v>
      </c>
      <c r="L57" s="16">
        <f t="shared" si="12"/>
        <v>40</v>
      </c>
      <c r="M57" s="16">
        <f t="shared" si="13"/>
        <v>1.1592499999999999</v>
      </c>
    </row>
    <row r="58" spans="1:13" ht="86.4" x14ac:dyDescent="0.3">
      <c r="A58" s="9">
        <v>10</v>
      </c>
      <c r="B58" s="44" t="s">
        <v>47</v>
      </c>
      <c r="C58" s="44" t="s">
        <v>44</v>
      </c>
      <c r="D58" s="15">
        <v>44986</v>
      </c>
      <c r="E58" s="28">
        <v>14.35</v>
      </c>
      <c r="F58" s="28">
        <v>14.53</v>
      </c>
      <c r="G58" s="27">
        <v>0</v>
      </c>
      <c r="H58" s="27">
        <v>0</v>
      </c>
      <c r="I58" s="16">
        <f t="shared" si="11"/>
        <v>28.88</v>
      </c>
      <c r="J58" s="16">
        <v>11</v>
      </c>
      <c r="K58" s="16">
        <v>17</v>
      </c>
      <c r="L58" s="16">
        <f t="shared" si="12"/>
        <v>28</v>
      </c>
      <c r="M58" s="16">
        <f t="shared" si="13"/>
        <v>1.0314285714285714</v>
      </c>
    </row>
    <row r="59" spans="1:13" ht="86.4" x14ac:dyDescent="0.3">
      <c r="A59" s="9">
        <v>10</v>
      </c>
      <c r="B59" s="44" t="s">
        <v>47</v>
      </c>
      <c r="C59" s="44" t="s">
        <v>45</v>
      </c>
      <c r="D59" s="15">
        <v>44621</v>
      </c>
      <c r="E59" s="28">
        <v>16.93</v>
      </c>
      <c r="F59" s="28">
        <v>8.15</v>
      </c>
      <c r="G59" s="27">
        <v>0</v>
      </c>
      <c r="H59" s="27">
        <v>0</v>
      </c>
      <c r="I59" s="16">
        <f t="shared" si="11"/>
        <v>25.08</v>
      </c>
      <c r="J59" s="16">
        <v>8</v>
      </c>
      <c r="K59" s="16">
        <v>9</v>
      </c>
      <c r="L59" s="16">
        <f t="shared" si="12"/>
        <v>17</v>
      </c>
      <c r="M59" s="16">
        <f t="shared" si="13"/>
        <v>1.4752941176470586</v>
      </c>
    </row>
    <row r="60" spans="1:13" ht="86.4" x14ac:dyDescent="0.3">
      <c r="A60" s="9">
        <v>10</v>
      </c>
      <c r="B60" s="44" t="s">
        <v>47</v>
      </c>
      <c r="C60" s="44" t="s">
        <v>46</v>
      </c>
      <c r="D60" s="15">
        <v>44256</v>
      </c>
      <c r="E60" s="28">
        <v>16.690000000000001</v>
      </c>
      <c r="F60" s="28">
        <v>5.28</v>
      </c>
      <c r="G60" s="27">
        <v>0</v>
      </c>
      <c r="H60" s="27">
        <v>0</v>
      </c>
      <c r="I60" s="16">
        <f t="shared" si="11"/>
        <v>21.970000000000002</v>
      </c>
      <c r="J60" s="16">
        <v>8</v>
      </c>
      <c r="K60" s="16">
        <v>5</v>
      </c>
      <c r="L60" s="16">
        <f t="shared" si="12"/>
        <v>13</v>
      </c>
      <c r="M60" s="16">
        <f t="shared" si="13"/>
        <v>1.6900000000000002</v>
      </c>
    </row>
  </sheetData>
  <mergeCells count="2">
    <mergeCell ref="B33:I33"/>
    <mergeCell ref="C3:I3"/>
  </mergeCells>
  <phoneticPr fontId="10" type="noConversion"/>
  <hyperlinks>
    <hyperlink ref="C6" r:id="rId1" display="https://www.bseindia.com/stock-share-price/hindustan-hardy-ltd/HINDHARD/505893/" xr:uid="{DC6D7AE4-4355-4366-8C20-E80E5FBB35F8}"/>
    <hyperlink ref="C36" r:id="rId2" display="https://www.bseindia.com/stock-share-price/hindustan-hardy-ltd/HINDHARD/505893/" xr:uid="{19145A59-0D1E-4082-B7A6-253C945467B4}"/>
    <hyperlink ref="C37" r:id="rId3" display="https://www.bseindia.com/stock-share-price/hindustan-hardy-ltd/HINDHARD/505893/" xr:uid="{79448F4A-4BD7-42FD-BCE3-A75903F23A23}"/>
    <hyperlink ref="C38" r:id="rId4" display="https://www.bseindia.com/stock-share-price/hindustan-hardy-ltd/HINDHARD/505893/" xr:uid="{AC8D63E9-5CBF-4189-A431-9F74E4AA733B}"/>
    <hyperlink ref="C39" r:id="rId5" display="https://www.bseindia.com/stock-share-price/hindustan-hardy-ltd/HINDHARD/505893/" xr:uid="{E601D9AA-57A7-48C0-8325-92A1F26854F5}"/>
    <hyperlink ref="C40" r:id="rId6" display="https://www.bseindia.com/stock-share-price/hindustan-hardy-ltd/HINDHARD/505893/" xr:uid="{CD10D0A6-D3A5-4224-91CE-EFEB52080F5F}"/>
    <hyperlink ref="C11" r:id="rId7" display="https://www.bseindia.com/stock-share-price/veljan-denison-ltd/VELJAN/505232/" xr:uid="{D54D9B73-884A-4ED9-9ACC-3299C585F837}"/>
    <hyperlink ref="C12" r:id="rId8" display="https://www.bseindia.com/stock-share-price/veljan-denison-ltd/VELJAN/505232/" xr:uid="{16523337-4CD0-4F27-A040-B37A5C94686D}"/>
    <hyperlink ref="C13" r:id="rId9" display="https://www.bseindia.com/stock-share-price/veljan-denison-ltd/VELJAN/505232/" xr:uid="{34E899BF-8211-475D-82C5-7C37F67491FC}"/>
    <hyperlink ref="C14" r:id="rId10" display="https://www.bseindia.com/stock-share-price/veljan-denison-ltd/VELJAN/505232/" xr:uid="{7859A039-5614-4F81-8F7C-DFC2CADE45F4}"/>
    <hyperlink ref="C15" r:id="rId11" display="https://www.bseindia.com/stock-share-price/veljan-denison-ltd/VELJAN/505232/" xr:uid="{68E30316-1B5E-4717-A1ED-AE20CE791E19}"/>
    <hyperlink ref="C41" r:id="rId12" display="https://www.bseindia.com/stock-share-price/veljan-denison-ltd/VELJAN/505232/" xr:uid="{D92D994F-E92F-4E19-881E-6BA83B836124}"/>
    <hyperlink ref="C42" r:id="rId13" display="https://www.bseindia.com/stock-share-price/veljan-denison-ltd/VELJAN/505232/" xr:uid="{FBEC42EB-2C0A-4B9F-AAA0-6BBB829E7E9C}"/>
    <hyperlink ref="C43" r:id="rId14" display="https://www.bseindia.com/stock-share-price/veljan-denison-ltd/VELJAN/505232/" xr:uid="{B0EE8869-2296-44F7-BA62-E4CD7430AFBB}"/>
    <hyperlink ref="C44" r:id="rId15" display="https://www.bseindia.com/stock-share-price/veljan-denison-ltd/VELJAN/505232/" xr:uid="{D7407150-F232-4EF4-8D3D-D9C942CCDD6C}"/>
    <hyperlink ref="C45" r:id="rId16" display="https://www.bseindia.com/stock-share-price/veljan-denison-ltd/VELJAN/505232/" xr:uid="{1E473C0E-58B0-4078-9148-0AE377B992C9}"/>
    <hyperlink ref="C16" r:id="rId17" display="https://www.bseindia.com/stock-share-price/ist-ltd/ISTLTD/508807/" xr:uid="{7540FFB7-332C-4EC0-8725-B5669F2C28B0}"/>
    <hyperlink ref="C17:C20" r:id="rId18" display="https://www.bseindia.com/stock-share-price/ist-ltd/ISTLTD/508807/" xr:uid="{69EA1717-6577-4E49-A42C-34AC8A392C1B}"/>
    <hyperlink ref="C46" r:id="rId19" display="https://www.bseindia.com/stock-share-price/ist-ltd/ISTLTD/508807/" xr:uid="{F3F361F3-C6FA-455C-AF96-00D414E795D5}"/>
    <hyperlink ref="C47:C50" r:id="rId20" display="https://www.bseindia.com/stock-share-price/ist-ltd/ISTLTD/508807/" xr:uid="{32E9A5C7-93A4-4E82-AC58-0429F1F05507}"/>
    <hyperlink ref="C21" r:id="rId21" display="https://www.bseindia.com/stock-share-price/g-g-automotive-gears-ltd/GGAUTO/531399/" xr:uid="{37B71E37-27F6-4863-9AC6-65E563CFEC67}"/>
    <hyperlink ref="C22:C25" r:id="rId22" display="https://www.bseindia.com/stock-share-price/g-g-automotive-gears-ltd/GGAUTO/531399/" xr:uid="{461D4EE5-875C-4C19-B683-3DFC3BF51887}"/>
    <hyperlink ref="C51" r:id="rId23" display="https://www.bseindia.com/stock-share-price/g-g-automotive-gears-ltd/GGAUTO/531399/" xr:uid="{E5CD3823-E203-496E-9DE7-25A4D5D39BEC}"/>
    <hyperlink ref="C52:C55" r:id="rId24" display="https://www.bseindia.com/stock-share-price/g-g-automotive-gears-ltd/GGAUTO/531399/" xr:uid="{835625D5-587D-4F6F-AD0E-6BA173C3576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83D85-73C4-47E3-90BB-3DF3788800C7}">
  <dimension ref="D3:AB195"/>
  <sheetViews>
    <sheetView tabSelected="1" topLeftCell="A92" zoomScaleNormal="100" workbookViewId="0">
      <selection activeCell="Y107" sqref="Y107"/>
    </sheetView>
  </sheetViews>
  <sheetFormatPr defaultRowHeight="14.4" x14ac:dyDescent="0.3"/>
  <cols>
    <col min="1" max="1" width="4" customWidth="1"/>
    <col min="2" max="2" width="3.77734375" customWidth="1"/>
    <col min="3" max="3" width="4.44140625" customWidth="1"/>
    <col min="10" max="11" width="9.5546875" bestFit="1" customWidth="1"/>
    <col min="12" max="12" width="2.44140625" customWidth="1"/>
  </cols>
  <sheetData>
    <row r="3" spans="4:20" x14ac:dyDescent="0.3">
      <c r="D3" s="76" t="s">
        <v>60</v>
      </c>
      <c r="E3" s="76"/>
      <c r="F3" s="76"/>
      <c r="G3" s="76"/>
      <c r="H3" s="76"/>
      <c r="I3" s="76"/>
      <c r="J3" s="76"/>
      <c r="K3" s="76"/>
    </row>
    <row r="4" spans="4:20" ht="43.2" customHeight="1" x14ac:dyDescent="0.3">
      <c r="D4" s="75" t="s">
        <v>48</v>
      </c>
      <c r="E4" s="74" t="s">
        <v>49</v>
      </c>
      <c r="F4" s="74"/>
      <c r="G4" s="74"/>
      <c r="H4" s="74"/>
      <c r="I4" s="74"/>
      <c r="J4" s="74"/>
      <c r="K4" s="74"/>
    </row>
    <row r="5" spans="4:20" ht="43.2" x14ac:dyDescent="0.3">
      <c r="D5" s="75"/>
      <c r="E5" s="74" t="s">
        <v>52</v>
      </c>
      <c r="F5" s="74"/>
      <c r="G5" s="74"/>
      <c r="H5" s="74" t="s">
        <v>54</v>
      </c>
      <c r="I5" s="74"/>
      <c r="J5" s="74"/>
      <c r="K5" s="4" t="s">
        <v>53</v>
      </c>
      <c r="T5" s="47" t="s">
        <v>61</v>
      </c>
    </row>
    <row r="6" spans="4:20" ht="43.2" x14ac:dyDescent="0.3">
      <c r="D6" s="1" t="s">
        <v>26</v>
      </c>
      <c r="E6" s="1" t="s">
        <v>50</v>
      </c>
      <c r="F6" s="1" t="s">
        <v>51</v>
      </c>
      <c r="G6" s="4" t="s">
        <v>56</v>
      </c>
      <c r="H6" s="1" t="s">
        <v>55</v>
      </c>
      <c r="I6" s="4" t="s">
        <v>57</v>
      </c>
      <c r="J6" s="4" t="s">
        <v>58</v>
      </c>
      <c r="K6" s="4" t="s">
        <v>59</v>
      </c>
      <c r="T6" s="48"/>
    </row>
    <row r="7" spans="4:20" x14ac:dyDescent="0.3">
      <c r="D7" s="45">
        <v>32.94670846394984</v>
      </c>
      <c r="E7" s="46">
        <v>1.5037344398340251</v>
      </c>
      <c r="F7" s="46">
        <v>0.25533333333333336</v>
      </c>
      <c r="G7" s="46">
        <v>19.117647058823529</v>
      </c>
      <c r="H7" s="46">
        <f>E7*F7</f>
        <v>0.38395352697095442</v>
      </c>
      <c r="I7" s="46">
        <f>E7*G7</f>
        <v>28.747864290944598</v>
      </c>
      <c r="J7" s="46">
        <f>F7*G7</f>
        <v>4.8813725490196083</v>
      </c>
      <c r="K7" s="46">
        <f>E7*F7*G7</f>
        <v>7.3402880156211872</v>
      </c>
      <c r="T7" s="48" t="s">
        <v>62</v>
      </c>
    </row>
    <row r="8" spans="4:20" x14ac:dyDescent="0.3">
      <c r="D8" s="45">
        <v>32.266874756145135</v>
      </c>
      <c r="E8" s="46">
        <v>1.6393206678180778</v>
      </c>
      <c r="F8" s="46">
        <v>0.17041666666666666</v>
      </c>
      <c r="G8" s="46">
        <v>7.9365079365079367</v>
      </c>
      <c r="H8" s="46">
        <f t="shared" ref="H8:H31" si="0">E8*F8</f>
        <v>0.27936756380733074</v>
      </c>
      <c r="I8" s="46">
        <f t="shared" ref="I8:I31" si="1">E8*G8</f>
        <v>13.010481490619666</v>
      </c>
      <c r="J8" s="46">
        <f t="shared" ref="J8:J31" si="2">F8*G8</f>
        <v>1.3525132275132274</v>
      </c>
      <c r="K8" s="46">
        <f t="shared" ref="K8:K31" si="3">E8*F8*G8</f>
        <v>2.2172028873597678</v>
      </c>
      <c r="T8" s="48"/>
    </row>
    <row r="9" spans="4:20" x14ac:dyDescent="0.3">
      <c r="D9" s="45">
        <v>32.181638696939785</v>
      </c>
      <c r="E9" s="46">
        <v>1.6232528589580686</v>
      </c>
      <c r="F9" s="46">
        <v>0.20210526315789473</v>
      </c>
      <c r="G9" s="46">
        <v>0</v>
      </c>
      <c r="H9" s="46">
        <f t="shared" si="0"/>
        <v>0.32806794623152541</v>
      </c>
      <c r="I9" s="46">
        <f t="shared" si="1"/>
        <v>0</v>
      </c>
      <c r="J9" s="46">
        <f t="shared" si="2"/>
        <v>0</v>
      </c>
      <c r="K9" s="46">
        <f t="shared" si="3"/>
        <v>0</v>
      </c>
      <c r="T9" s="48" t="s">
        <v>63</v>
      </c>
    </row>
    <row r="10" spans="4:20" x14ac:dyDescent="0.3">
      <c r="D10" s="45">
        <v>36.499402628434886</v>
      </c>
      <c r="E10" s="46">
        <v>1.4538745387453877</v>
      </c>
      <c r="F10" s="46">
        <v>0.43066666666666659</v>
      </c>
      <c r="G10" s="46">
        <v>40</v>
      </c>
      <c r="H10" s="46">
        <f t="shared" si="0"/>
        <v>0.62613530135301354</v>
      </c>
      <c r="I10" s="46">
        <f t="shared" si="1"/>
        <v>58.15498154981551</v>
      </c>
      <c r="J10" s="46">
        <f t="shared" si="2"/>
        <v>17.226666666666663</v>
      </c>
      <c r="K10" s="46">
        <f t="shared" si="3"/>
        <v>25.04541205412054</v>
      </c>
      <c r="T10" s="48"/>
    </row>
    <row r="11" spans="4:20" x14ac:dyDescent="0.3">
      <c r="D11" s="45">
        <v>40.842787682333878</v>
      </c>
      <c r="E11" s="46">
        <v>1.2151755379388449</v>
      </c>
      <c r="F11" s="46">
        <v>0.3</v>
      </c>
      <c r="G11" s="46">
        <v>15.384615384615385</v>
      </c>
      <c r="H11" s="46">
        <f t="shared" si="0"/>
        <v>0.36455266138165349</v>
      </c>
      <c r="I11" s="46">
        <f t="shared" si="1"/>
        <v>18.695008275982229</v>
      </c>
      <c r="J11" s="46">
        <f t="shared" si="2"/>
        <v>4.615384615384615</v>
      </c>
      <c r="K11" s="46">
        <f t="shared" si="3"/>
        <v>5.6085024827946688</v>
      </c>
      <c r="T11" s="48" t="s">
        <v>64</v>
      </c>
    </row>
    <row r="12" spans="4:20" x14ac:dyDescent="0.3">
      <c r="D12" s="45">
        <v>16.262157985637668</v>
      </c>
      <c r="E12" s="46">
        <v>3.2314764737696056</v>
      </c>
      <c r="F12" s="46">
        <v>3.7031963470319632E-2</v>
      </c>
      <c r="G12" s="46">
        <v>14.516129032258064</v>
      </c>
      <c r="H12" s="46">
        <f t="shared" si="0"/>
        <v>0.11966791873183333</v>
      </c>
      <c r="I12" s="46">
        <f t="shared" si="1"/>
        <v>46.908529457945889</v>
      </c>
      <c r="J12" s="46">
        <f t="shared" si="2"/>
        <v>0.53756076005302689</v>
      </c>
      <c r="K12" s="46">
        <f t="shared" si="3"/>
        <v>1.7371149493330644</v>
      </c>
    </row>
    <row r="13" spans="4:20" x14ac:dyDescent="0.3">
      <c r="D13" s="45">
        <v>16.327345309381236</v>
      </c>
      <c r="E13" s="46">
        <v>3.3823529411764706</v>
      </c>
      <c r="F13" s="46">
        <v>3.4700000000000002E-2</v>
      </c>
      <c r="G13" s="46">
        <v>11.711711711711711</v>
      </c>
      <c r="H13" s="46">
        <f t="shared" si="0"/>
        <v>0.11736764705882353</v>
      </c>
      <c r="I13" s="46">
        <f t="shared" si="1"/>
        <v>39.613142554319026</v>
      </c>
      <c r="J13" s="46">
        <f t="shared" si="2"/>
        <v>0.40639639639639641</v>
      </c>
      <c r="K13" s="46">
        <f t="shared" si="3"/>
        <v>1.3745760466348702</v>
      </c>
    </row>
    <row r="14" spans="4:20" x14ac:dyDescent="0.3">
      <c r="D14" s="45">
        <v>13.639830046846063</v>
      </c>
      <c r="E14" s="46">
        <v>2.8373800112930545</v>
      </c>
      <c r="F14" s="46">
        <v>5.1420765027322408E-2</v>
      </c>
      <c r="G14" s="46">
        <v>13.26530612244898</v>
      </c>
      <c r="H14" s="46">
        <f t="shared" si="0"/>
        <v>0.14590025085392155</v>
      </c>
      <c r="I14" s="46">
        <f t="shared" si="1"/>
        <v>37.638714435520114</v>
      </c>
      <c r="J14" s="46">
        <f t="shared" si="2"/>
        <v>0.68211218913795035</v>
      </c>
      <c r="K14" s="46">
        <f t="shared" si="3"/>
        <v>1.9354114909193676</v>
      </c>
    </row>
    <row r="15" spans="4:20" x14ac:dyDescent="0.3">
      <c r="D15" s="45">
        <v>16.607361605319955</v>
      </c>
      <c r="E15" s="46">
        <v>3.5492312724893686</v>
      </c>
      <c r="F15" s="46">
        <v>4.0116959064327488E-2</v>
      </c>
      <c r="G15" s="46">
        <v>32.432432432432435</v>
      </c>
      <c r="H15" s="46">
        <f t="shared" si="0"/>
        <v>0.14238436566828697</v>
      </c>
      <c r="I15" s="46">
        <f t="shared" si="1"/>
        <v>115.11020343208764</v>
      </c>
      <c r="J15" s="46">
        <f t="shared" si="2"/>
        <v>1.3010905642484591</v>
      </c>
      <c r="K15" s="46">
        <f t="shared" si="3"/>
        <v>4.6178713189714697</v>
      </c>
    </row>
    <row r="16" spans="4:20" x14ac:dyDescent="0.3">
      <c r="D16" s="45">
        <v>9.4289170433564671</v>
      </c>
      <c r="E16" s="46">
        <v>3.2169414807630137</v>
      </c>
      <c r="F16" s="46">
        <v>6.140127388535032E-2</v>
      </c>
      <c r="G16" s="46">
        <v>-10.843373493975903</v>
      </c>
      <c r="H16" s="46">
        <f t="shared" si="0"/>
        <v>0.19752430493347423</v>
      </c>
      <c r="I16" s="46">
        <f t="shared" si="1"/>
        <v>-34.882497984177256</v>
      </c>
      <c r="J16" s="46">
        <f t="shared" si="2"/>
        <v>-0.66579694574476245</v>
      </c>
      <c r="K16" s="46">
        <f t="shared" si="3"/>
        <v>-2.1418298125316482</v>
      </c>
    </row>
    <row r="17" spans="4:28" x14ac:dyDescent="0.3">
      <c r="D17" s="45">
        <v>14.709566586736337</v>
      </c>
      <c r="E17" s="46">
        <v>0.82802728823194993</v>
      </c>
      <c r="F17" s="46">
        <v>1.3261648745519715E-2</v>
      </c>
      <c r="G17" s="46">
        <v>4.5454545454545459</v>
      </c>
      <c r="H17" s="46">
        <f t="shared" si="0"/>
        <v>1.098100704823733E-2</v>
      </c>
      <c r="I17" s="46">
        <f t="shared" si="1"/>
        <v>3.7637604010543182</v>
      </c>
      <c r="J17" s="46">
        <f t="shared" si="2"/>
        <v>6.0280221570544162E-2</v>
      </c>
      <c r="K17" s="46">
        <f t="shared" si="3"/>
        <v>4.9913668401078776E-2</v>
      </c>
    </row>
    <row r="18" spans="4:28" ht="18" x14ac:dyDescent="0.3">
      <c r="D18" s="45">
        <v>17.21418116766954</v>
      </c>
      <c r="E18" s="46">
        <v>0.6829800498753118</v>
      </c>
      <c r="F18" s="46">
        <v>9.3495934959349578E-3</v>
      </c>
      <c r="G18" s="46">
        <v>-9.0909090909090917</v>
      </c>
      <c r="H18" s="46">
        <f t="shared" si="0"/>
        <v>6.3855858321675485E-3</v>
      </c>
      <c r="I18" s="46">
        <f t="shared" si="1"/>
        <v>-6.2089095443210169</v>
      </c>
      <c r="J18" s="46">
        <f t="shared" si="2"/>
        <v>-8.4996304508499626E-2</v>
      </c>
      <c r="K18" s="46">
        <f t="shared" si="3"/>
        <v>-5.8050780292432262E-2</v>
      </c>
      <c r="S18" s="50" t="s">
        <v>61</v>
      </c>
    </row>
    <row r="19" spans="4:28" x14ac:dyDescent="0.3">
      <c r="D19" s="45">
        <v>5.6585365853658542</v>
      </c>
      <c r="E19" s="46">
        <v>0.85023255813953491</v>
      </c>
      <c r="F19" s="46">
        <v>1.4883720930232559E-2</v>
      </c>
      <c r="G19" s="46">
        <v>-3.2</v>
      </c>
      <c r="H19" s="46">
        <f t="shared" si="0"/>
        <v>1.2654624121146566E-2</v>
      </c>
      <c r="I19" s="46">
        <f t="shared" si="1"/>
        <v>-2.7207441860465118</v>
      </c>
      <c r="J19" s="46">
        <f t="shared" si="2"/>
        <v>-4.762790697674419E-2</v>
      </c>
      <c r="K19" s="46">
        <f t="shared" si="3"/>
        <v>-4.0494797187669018E-2</v>
      </c>
      <c r="S19" s="48"/>
    </row>
    <row r="20" spans="4:28" x14ac:dyDescent="0.3">
      <c r="D20" s="45">
        <v>7.3671497584541061</v>
      </c>
      <c r="E20" s="46">
        <v>1.319</v>
      </c>
      <c r="F20" s="46">
        <v>6.2318840579710143E-3</v>
      </c>
      <c r="G20" s="46">
        <v>-8.7591240875912408</v>
      </c>
      <c r="H20" s="46">
        <f t="shared" si="0"/>
        <v>8.2198550724637675E-3</v>
      </c>
      <c r="I20" s="46">
        <f t="shared" si="1"/>
        <v>-11.553284671532847</v>
      </c>
      <c r="J20" s="46">
        <f t="shared" si="2"/>
        <v>-5.4585845763249763E-2</v>
      </c>
      <c r="K20" s="46">
        <f t="shared" si="3"/>
        <v>-7.1998730561726426E-2</v>
      </c>
      <c r="S20" s="48" t="s">
        <v>65</v>
      </c>
    </row>
    <row r="21" spans="4:28" x14ac:dyDescent="0.3">
      <c r="D21" s="45">
        <v>6.7422555173111967</v>
      </c>
      <c r="E21" s="46">
        <v>1.2304502369668247</v>
      </c>
      <c r="F21" s="46">
        <v>5.8585858585858581E-3</v>
      </c>
      <c r="G21" s="46">
        <v>16.101694915254239</v>
      </c>
      <c r="H21" s="46">
        <f t="shared" si="0"/>
        <v>7.2086983579874569E-3</v>
      </c>
      <c r="I21" s="46">
        <f t="shared" si="1"/>
        <v>19.812334324042094</v>
      </c>
      <c r="J21" s="46">
        <f t="shared" si="2"/>
        <v>9.4333162129772302E-2</v>
      </c>
      <c r="K21" s="46">
        <f t="shared" si="3"/>
        <v>0.11607226169640822</v>
      </c>
      <c r="S21" s="48"/>
    </row>
    <row r="22" spans="4:28" x14ac:dyDescent="0.3">
      <c r="D22" s="45">
        <v>27.549731607199242</v>
      </c>
      <c r="E22" s="46">
        <v>1.7708205756276794</v>
      </c>
      <c r="F22" s="46">
        <v>0.53382978723404251</v>
      </c>
      <c r="G22" s="46">
        <v>23.913043478260871</v>
      </c>
      <c r="H22" s="46">
        <f t="shared" si="0"/>
        <v>0.94531677111698875</v>
      </c>
      <c r="I22" s="46">
        <f t="shared" si="1"/>
        <v>42.345709417183642</v>
      </c>
      <c r="J22" s="46">
        <f t="shared" si="2"/>
        <v>12.765494912118408</v>
      </c>
      <c r="K22" s="46">
        <f t="shared" si="3"/>
        <v>22.605401048449732</v>
      </c>
      <c r="S22" s="48"/>
    </row>
    <row r="23" spans="4:28" x14ac:dyDescent="0.3">
      <c r="D23" s="45">
        <v>27.323254779902179</v>
      </c>
      <c r="E23" s="46">
        <v>1.511243753470294</v>
      </c>
      <c r="F23" s="46">
        <v>0.87838709677419358</v>
      </c>
      <c r="G23" s="46">
        <v>19.480519480519479</v>
      </c>
      <c r="H23" s="46">
        <f t="shared" si="0"/>
        <v>1.3274570131289067</v>
      </c>
      <c r="I23" s="46">
        <f t="shared" si="1"/>
        <v>29.43981337929144</v>
      </c>
      <c r="J23" s="46">
        <f t="shared" si="2"/>
        <v>17.111436950146626</v>
      </c>
      <c r="K23" s="46">
        <f t="shared" si="3"/>
        <v>25.859552203809869</v>
      </c>
      <c r="S23" s="49"/>
    </row>
    <row r="24" spans="4:28" x14ac:dyDescent="0.3">
      <c r="D24" s="45">
        <v>21.319409067753437</v>
      </c>
      <c r="E24" s="46">
        <v>1.2926906112161307</v>
      </c>
      <c r="F24" s="46">
        <v>1.5522727272727272</v>
      </c>
      <c r="G24" s="46">
        <v>60.416666666666664</v>
      </c>
      <c r="H24" s="46">
        <f t="shared" si="0"/>
        <v>2.0066083805923118</v>
      </c>
      <c r="I24" s="46">
        <f t="shared" si="1"/>
        <v>78.100057760974565</v>
      </c>
      <c r="J24" s="46">
        <f t="shared" si="2"/>
        <v>93.783143939393938</v>
      </c>
      <c r="K24" s="46">
        <f t="shared" si="3"/>
        <v>121.23258966078551</v>
      </c>
      <c r="S24" s="49" t="s">
        <v>66</v>
      </c>
    </row>
    <row r="25" spans="4:28" x14ac:dyDescent="0.3">
      <c r="D25" s="45">
        <v>19.047619047619051</v>
      </c>
      <c r="E25" s="46">
        <v>0.93235747303543914</v>
      </c>
      <c r="F25" s="46">
        <v>1.6015000000000001</v>
      </c>
      <c r="G25" s="46">
        <v>60</v>
      </c>
      <c r="H25" s="46">
        <f t="shared" si="0"/>
        <v>1.4931704930662559</v>
      </c>
      <c r="I25" s="46">
        <f t="shared" si="1"/>
        <v>55.941448382126346</v>
      </c>
      <c r="J25" s="46">
        <f t="shared" si="2"/>
        <v>96.09</v>
      </c>
      <c r="K25" s="46">
        <f t="shared" si="3"/>
        <v>89.590229583975358</v>
      </c>
      <c r="S25" s="49"/>
    </row>
    <row r="26" spans="4:28" x14ac:dyDescent="0.3">
      <c r="D26" s="45">
        <v>7.1495472994068052</v>
      </c>
      <c r="E26" s="46">
        <v>1.0917159763313609</v>
      </c>
      <c r="F26" s="46">
        <v>1.3414999999999999</v>
      </c>
      <c r="G26" s="46">
        <v>-46.428571428571431</v>
      </c>
      <c r="H26" s="46">
        <f t="shared" si="0"/>
        <v>1.4645369822485206</v>
      </c>
      <c r="I26" s="46">
        <f t="shared" si="1"/>
        <v>-50.686813186813183</v>
      </c>
      <c r="J26" s="46">
        <f t="shared" si="2"/>
        <v>-62.283928571428568</v>
      </c>
      <c r="K26" s="46">
        <f t="shared" si="3"/>
        <v>-67.996359890109886</v>
      </c>
      <c r="S26" s="49" t="s">
        <v>67</v>
      </c>
    </row>
    <row r="27" spans="4:28" x14ac:dyDescent="0.3">
      <c r="D27" s="45">
        <v>19.426594167078594</v>
      </c>
      <c r="E27" s="46">
        <v>0.60919008875739633</v>
      </c>
      <c r="F27" s="46">
        <v>1.2082608695652173</v>
      </c>
      <c r="G27" s="46">
        <v>20.689655172413794</v>
      </c>
      <c r="H27" s="46">
        <f t="shared" si="0"/>
        <v>0.73606054637252361</v>
      </c>
      <c r="I27" s="46">
        <f t="shared" si="1"/>
        <v>12.603932870842684</v>
      </c>
      <c r="J27" s="46">
        <f t="shared" si="2"/>
        <v>24.998500749625187</v>
      </c>
      <c r="K27" s="46">
        <f t="shared" si="3"/>
        <v>15.228838890466006</v>
      </c>
      <c r="S27" s="48"/>
    </row>
    <row r="28" spans="4:28" ht="21" customHeight="1" x14ac:dyDescent="0.3">
      <c r="D28" s="45">
        <v>16.040765042579928</v>
      </c>
      <c r="E28" s="46">
        <v>0.72718758362322722</v>
      </c>
      <c r="F28" s="46">
        <v>1.1592499999999999</v>
      </c>
      <c r="G28" s="46">
        <v>6.0975609756097562</v>
      </c>
      <c r="H28" s="46">
        <f t="shared" si="0"/>
        <v>0.84299220631522609</v>
      </c>
      <c r="I28" s="46">
        <f t="shared" si="1"/>
        <v>4.4340706318489467</v>
      </c>
      <c r="J28" s="46">
        <f t="shared" si="2"/>
        <v>7.0685975609756095</v>
      </c>
      <c r="K28" s="46">
        <f t="shared" si="3"/>
        <v>5.1401963799708907</v>
      </c>
      <c r="S28" s="78" t="s">
        <v>68</v>
      </c>
      <c r="T28" s="78"/>
      <c r="U28" s="78"/>
      <c r="V28" s="78"/>
      <c r="W28" s="78"/>
      <c r="X28" s="78"/>
      <c r="Y28" s="78"/>
      <c r="Z28" s="78"/>
      <c r="AA28" s="78"/>
      <c r="AB28" s="78"/>
    </row>
    <row r="29" spans="4:28" x14ac:dyDescent="0.3">
      <c r="D29" s="45">
        <v>24.608819345661452</v>
      </c>
      <c r="E29" s="46">
        <v>0.52408671216378955</v>
      </c>
      <c r="F29" s="46">
        <v>1.0314285714285714</v>
      </c>
      <c r="G29" s="46">
        <v>51.851851851851855</v>
      </c>
      <c r="H29" s="46">
        <f t="shared" si="0"/>
        <v>0.54055800883179428</v>
      </c>
      <c r="I29" s="46">
        <f t="shared" si="1"/>
        <v>27.174866556640939</v>
      </c>
      <c r="J29" s="46">
        <f t="shared" si="2"/>
        <v>53.481481481481481</v>
      </c>
      <c r="K29" s="46">
        <f t="shared" si="3"/>
        <v>28.028933791278224</v>
      </c>
    </row>
    <row r="30" spans="4:28" x14ac:dyDescent="0.3">
      <c r="D30" s="45">
        <v>18.353293413173652</v>
      </c>
      <c r="E30" s="46">
        <v>0.58125000000000004</v>
      </c>
      <c r="F30" s="46">
        <v>1.4752941176470586</v>
      </c>
      <c r="G30" s="46">
        <v>68.75</v>
      </c>
      <c r="H30" s="46">
        <f t="shared" si="0"/>
        <v>0.8575147058823529</v>
      </c>
      <c r="I30" s="46">
        <f t="shared" si="1"/>
        <v>39.9609375</v>
      </c>
      <c r="J30" s="46">
        <f t="shared" si="2"/>
        <v>101.42647058823528</v>
      </c>
      <c r="K30" s="46">
        <f t="shared" si="3"/>
        <v>58.954136029411764</v>
      </c>
    </row>
    <row r="31" spans="4:28" x14ac:dyDescent="0.3">
      <c r="D31" s="45">
        <v>10.513780197346037</v>
      </c>
      <c r="E31" s="46">
        <v>0.45415257422021793</v>
      </c>
      <c r="F31" s="46">
        <v>1.6900000000000002</v>
      </c>
      <c r="G31" s="46">
        <v>45.454545454545453</v>
      </c>
      <c r="H31" s="46">
        <f t="shared" si="0"/>
        <v>0.76751785043216836</v>
      </c>
      <c r="I31" s="46">
        <f t="shared" si="1"/>
        <v>20.643298828191725</v>
      </c>
      <c r="J31" s="46">
        <f t="shared" si="2"/>
        <v>76.818181818181827</v>
      </c>
      <c r="K31" s="46">
        <f t="shared" si="3"/>
        <v>34.887175019644012</v>
      </c>
    </row>
    <row r="34" spans="11:11" ht="18" x14ac:dyDescent="0.3">
      <c r="K34" s="47" t="s">
        <v>61</v>
      </c>
    </row>
    <row r="35" spans="11:11" x14ac:dyDescent="0.3">
      <c r="K35" s="48"/>
    </row>
    <row r="36" spans="11:11" x14ac:dyDescent="0.3">
      <c r="K36" s="48" t="s">
        <v>69</v>
      </c>
    </row>
    <row r="37" spans="11:11" x14ac:dyDescent="0.3">
      <c r="K37" s="48"/>
    </row>
    <row r="38" spans="11:11" x14ac:dyDescent="0.3">
      <c r="K38" s="48"/>
    </row>
    <row r="39" spans="11:11" x14ac:dyDescent="0.3">
      <c r="K39" s="49"/>
    </row>
    <row r="40" spans="11:11" x14ac:dyDescent="0.3">
      <c r="K40" s="49" t="s">
        <v>70</v>
      </c>
    </row>
    <row r="41" spans="11:11" x14ac:dyDescent="0.3">
      <c r="K41" s="49"/>
    </row>
    <row r="42" spans="11:11" x14ac:dyDescent="0.3">
      <c r="K42" s="49" t="s">
        <v>71</v>
      </c>
    </row>
    <row r="43" spans="11:11" x14ac:dyDescent="0.3">
      <c r="K43" s="48"/>
    </row>
    <row r="44" spans="11:11" x14ac:dyDescent="0.3">
      <c r="K44" s="48" t="s">
        <v>72</v>
      </c>
    </row>
    <row r="49" spans="4:12" ht="18" x14ac:dyDescent="0.3">
      <c r="K49" s="47" t="s">
        <v>61</v>
      </c>
    </row>
    <row r="50" spans="4:12" x14ac:dyDescent="0.3">
      <c r="K50" s="48"/>
    </row>
    <row r="51" spans="4:12" x14ac:dyDescent="0.3">
      <c r="K51" s="48" t="s">
        <v>73</v>
      </c>
    </row>
    <row r="52" spans="4:12" x14ac:dyDescent="0.3">
      <c r="K52" s="48"/>
    </row>
    <row r="53" spans="4:12" x14ac:dyDescent="0.3">
      <c r="K53" s="48" t="s">
        <v>74</v>
      </c>
    </row>
    <row r="54" spans="4:12" x14ac:dyDescent="0.3">
      <c r="K54" s="48"/>
    </row>
    <row r="55" spans="4:12" x14ac:dyDescent="0.3">
      <c r="K55" s="48" t="s">
        <v>75</v>
      </c>
    </row>
    <row r="56" spans="4:12" x14ac:dyDescent="0.3">
      <c r="K56" s="48"/>
    </row>
    <row r="57" spans="4:12" x14ac:dyDescent="0.3">
      <c r="K57" s="48" t="s">
        <v>76</v>
      </c>
    </row>
    <row r="64" spans="4:12" x14ac:dyDescent="0.3">
      <c r="D64" s="80" t="s">
        <v>77</v>
      </c>
      <c r="E64" s="80"/>
      <c r="F64" s="80"/>
      <c r="G64" s="80"/>
      <c r="H64" s="80"/>
      <c r="I64" s="80"/>
      <c r="J64" s="80"/>
      <c r="K64" s="80"/>
      <c r="L64" s="80"/>
    </row>
    <row r="65" spans="10:10" ht="18" x14ac:dyDescent="0.3">
      <c r="J65" s="47" t="s">
        <v>61</v>
      </c>
    </row>
    <row r="66" spans="10:10" x14ac:dyDescent="0.3">
      <c r="J66" s="48"/>
    </row>
    <row r="67" spans="10:10" x14ac:dyDescent="0.3">
      <c r="J67" s="48" t="s">
        <v>78</v>
      </c>
    </row>
    <row r="68" spans="10:10" x14ac:dyDescent="0.3">
      <c r="J68" s="48"/>
    </row>
    <row r="69" spans="10:10" x14ac:dyDescent="0.3">
      <c r="J69" s="48" t="s">
        <v>79</v>
      </c>
    </row>
    <row r="70" spans="10:10" x14ac:dyDescent="0.3">
      <c r="J70" s="48"/>
    </row>
    <row r="71" spans="10:10" x14ac:dyDescent="0.3">
      <c r="J71" s="48" t="s">
        <v>80</v>
      </c>
    </row>
    <row r="79" spans="10:10" ht="18" x14ac:dyDescent="0.3">
      <c r="J79" s="47" t="s">
        <v>61</v>
      </c>
    </row>
    <row r="80" spans="10:10" x14ac:dyDescent="0.3">
      <c r="J80" s="48"/>
    </row>
    <row r="81" spans="10:10" x14ac:dyDescent="0.3">
      <c r="J81" s="48" t="s">
        <v>81</v>
      </c>
    </row>
    <row r="82" spans="10:10" x14ac:dyDescent="0.3">
      <c r="J82" s="48"/>
    </row>
    <row r="83" spans="10:10" x14ac:dyDescent="0.3">
      <c r="J83" s="48" t="s">
        <v>82</v>
      </c>
    </row>
    <row r="84" spans="10:10" x14ac:dyDescent="0.3">
      <c r="J84" s="48"/>
    </row>
    <row r="85" spans="10:10" x14ac:dyDescent="0.3">
      <c r="J85" s="48" t="s">
        <v>83</v>
      </c>
    </row>
    <row r="86" spans="10:10" x14ac:dyDescent="0.3">
      <c r="J86" s="48"/>
    </row>
    <row r="87" spans="10:10" x14ac:dyDescent="0.3">
      <c r="J87" s="48"/>
    </row>
    <row r="88" spans="10:10" x14ac:dyDescent="0.3">
      <c r="J88" s="49"/>
    </row>
    <row r="89" spans="10:10" x14ac:dyDescent="0.3">
      <c r="J89" s="49" t="s">
        <v>84</v>
      </c>
    </row>
    <row r="90" spans="10:10" x14ac:dyDescent="0.3">
      <c r="J90" s="49"/>
    </row>
    <row r="91" spans="10:10" x14ac:dyDescent="0.3">
      <c r="J91" s="49" t="s">
        <v>85</v>
      </c>
    </row>
    <row r="92" spans="10:10" x14ac:dyDescent="0.3">
      <c r="J92" s="48"/>
    </row>
    <row r="93" spans="10:10" x14ac:dyDescent="0.3">
      <c r="J93" s="48" t="s">
        <v>86</v>
      </c>
    </row>
    <row r="96" spans="10:10" ht="18" x14ac:dyDescent="0.3">
      <c r="J96" s="47" t="s">
        <v>61</v>
      </c>
    </row>
    <row r="97" spans="4:27" x14ac:dyDescent="0.3">
      <c r="J97" s="48"/>
    </row>
    <row r="98" spans="4:27" x14ac:dyDescent="0.3">
      <c r="J98" s="48" t="s">
        <v>87</v>
      </c>
    </row>
    <row r="99" spans="4:27" x14ac:dyDescent="0.3">
      <c r="J99" s="48"/>
    </row>
    <row r="100" spans="4:27" x14ac:dyDescent="0.3">
      <c r="J100" s="48" t="s">
        <v>88</v>
      </c>
    </row>
    <row r="101" spans="4:27" x14ac:dyDescent="0.3">
      <c r="J101" s="48"/>
    </row>
    <row r="102" spans="4:27" x14ac:dyDescent="0.3">
      <c r="J102" s="48" t="s">
        <v>89</v>
      </c>
    </row>
    <row r="107" spans="4:27" ht="15" thickBot="1" x14ac:dyDescent="0.35"/>
    <row r="108" spans="4:27" x14ac:dyDescent="0.3">
      <c r="N108" s="56"/>
      <c r="O108" s="57"/>
      <c r="P108" s="57"/>
      <c r="Q108" s="57"/>
      <c r="R108" s="57"/>
      <c r="S108" s="57"/>
      <c r="T108" s="57"/>
      <c r="U108" s="57"/>
      <c r="V108" s="57"/>
      <c r="W108" s="57"/>
      <c r="X108" s="57"/>
      <c r="Y108" s="57"/>
      <c r="Z108" s="57"/>
      <c r="AA108" s="58"/>
    </row>
    <row r="109" spans="4:27" ht="23.4" x14ac:dyDescent="0.3">
      <c r="D109" s="52" t="s">
        <v>90</v>
      </c>
      <c r="N109" s="59"/>
      <c r="S109" s="47" t="s">
        <v>138</v>
      </c>
      <c r="AA109" s="60"/>
    </row>
    <row r="110" spans="4:27" x14ac:dyDescent="0.3">
      <c r="N110" s="59"/>
      <c r="AA110" s="60"/>
    </row>
    <row r="111" spans="4:27" ht="18" x14ac:dyDescent="0.3">
      <c r="D111" s="47" t="s">
        <v>91</v>
      </c>
      <c r="N111" s="59"/>
      <c r="S111" s="61" t="s">
        <v>139</v>
      </c>
      <c r="AA111" s="60"/>
    </row>
    <row r="112" spans="4:27" x14ac:dyDescent="0.3">
      <c r="D112" s="48"/>
      <c r="N112" s="59"/>
      <c r="S112" s="48"/>
      <c r="AA112" s="60"/>
    </row>
    <row r="113" spans="4:27" x14ac:dyDescent="0.3">
      <c r="D113" s="53" t="s">
        <v>92</v>
      </c>
      <c r="N113" s="59"/>
      <c r="S113" s="53" t="s">
        <v>140</v>
      </c>
      <c r="AA113" s="60"/>
    </row>
    <row r="114" spans="4:27" x14ac:dyDescent="0.3">
      <c r="D114" s="48"/>
      <c r="N114" s="59"/>
      <c r="S114" s="48"/>
      <c r="AA114" s="60"/>
    </row>
    <row r="115" spans="4:27" x14ac:dyDescent="0.3">
      <c r="D115" s="53" t="s">
        <v>93</v>
      </c>
      <c r="N115" s="59"/>
      <c r="S115" s="53" t="s">
        <v>141</v>
      </c>
      <c r="AA115" s="60"/>
    </row>
    <row r="116" spans="4:27" x14ac:dyDescent="0.3">
      <c r="N116" s="59"/>
      <c r="S116" s="48"/>
      <c r="AA116" s="60"/>
    </row>
    <row r="117" spans="4:27" ht="18" x14ac:dyDescent="0.3">
      <c r="D117" s="47" t="s">
        <v>94</v>
      </c>
      <c r="N117" s="59"/>
      <c r="S117" s="53" t="s">
        <v>142</v>
      </c>
      <c r="AA117" s="60"/>
    </row>
    <row r="118" spans="4:27" x14ac:dyDescent="0.3">
      <c r="N118" s="59"/>
      <c r="AA118" s="60"/>
    </row>
    <row r="119" spans="4:27" ht="28.8" x14ac:dyDescent="0.3">
      <c r="D119" s="54" t="s">
        <v>95</v>
      </c>
      <c r="E119" s="54" t="s">
        <v>96</v>
      </c>
      <c r="F119" s="54" t="s">
        <v>97</v>
      </c>
      <c r="G119" s="79" t="s">
        <v>98</v>
      </c>
      <c r="H119" s="79"/>
      <c r="I119" s="79"/>
      <c r="J119" s="79"/>
      <c r="K119" s="79"/>
      <c r="L119" s="79"/>
      <c r="N119" s="59"/>
      <c r="S119" s="61" t="s">
        <v>143</v>
      </c>
      <c r="AA119" s="60"/>
    </row>
    <row r="120" spans="4:27" ht="51.6" customHeight="1" x14ac:dyDescent="0.3">
      <c r="D120" s="55" t="s">
        <v>99</v>
      </c>
      <c r="E120" s="18" t="s">
        <v>100</v>
      </c>
      <c r="F120" s="18" t="s">
        <v>101</v>
      </c>
      <c r="G120" s="75" t="s">
        <v>102</v>
      </c>
      <c r="H120" s="75"/>
      <c r="I120" s="75"/>
      <c r="J120" s="75"/>
      <c r="K120" s="75"/>
      <c r="L120" s="75"/>
      <c r="N120" s="59"/>
      <c r="S120" s="48"/>
      <c r="AA120" s="60"/>
    </row>
    <row r="121" spans="4:27" ht="51" customHeight="1" x14ac:dyDescent="0.3">
      <c r="D121" s="55" t="s">
        <v>103</v>
      </c>
      <c r="E121" s="18" t="s">
        <v>104</v>
      </c>
      <c r="F121" s="18" t="s">
        <v>105</v>
      </c>
      <c r="G121" s="75" t="s">
        <v>106</v>
      </c>
      <c r="H121" s="75"/>
      <c r="I121" s="75"/>
      <c r="J121" s="75"/>
      <c r="K121" s="75"/>
      <c r="L121" s="75"/>
      <c r="N121" s="59"/>
      <c r="S121" s="53" t="s">
        <v>129</v>
      </c>
      <c r="AA121" s="60"/>
    </row>
    <row r="122" spans="4:27" ht="51" customHeight="1" x14ac:dyDescent="0.3">
      <c r="D122" s="55" t="s">
        <v>56</v>
      </c>
      <c r="E122" s="18" t="s">
        <v>107</v>
      </c>
      <c r="F122" s="18" t="s">
        <v>108</v>
      </c>
      <c r="G122" s="75" t="s">
        <v>109</v>
      </c>
      <c r="H122" s="75"/>
      <c r="I122" s="75"/>
      <c r="J122" s="75"/>
      <c r="K122" s="75"/>
      <c r="L122" s="75"/>
      <c r="N122" s="59"/>
      <c r="S122" s="48"/>
      <c r="AA122" s="60"/>
    </row>
    <row r="123" spans="4:27" x14ac:dyDescent="0.3">
      <c r="N123" s="59"/>
      <c r="S123" s="53" t="s">
        <v>130</v>
      </c>
      <c r="AA123" s="60"/>
    </row>
    <row r="124" spans="4:27" ht="18" x14ac:dyDescent="0.3">
      <c r="D124" s="47" t="s">
        <v>110</v>
      </c>
      <c r="N124" s="59"/>
      <c r="S124" s="48"/>
      <c r="AA124" s="60"/>
    </row>
    <row r="125" spans="4:27" x14ac:dyDescent="0.3">
      <c r="N125" s="59"/>
      <c r="S125" s="53" t="s">
        <v>131</v>
      </c>
      <c r="AA125" s="60"/>
    </row>
    <row r="126" spans="4:27" ht="28.8" x14ac:dyDescent="0.3">
      <c r="D126" s="54" t="s">
        <v>111</v>
      </c>
      <c r="E126" s="54" t="s">
        <v>96</v>
      </c>
      <c r="F126" s="54" t="s">
        <v>97</v>
      </c>
      <c r="G126" s="79" t="s">
        <v>61</v>
      </c>
      <c r="H126" s="79"/>
      <c r="I126" s="79"/>
      <c r="J126" s="79"/>
      <c r="K126" s="79"/>
      <c r="N126" s="59"/>
      <c r="S126" s="48"/>
      <c r="AA126" s="60"/>
    </row>
    <row r="127" spans="4:27" ht="47.4" customHeight="1" x14ac:dyDescent="0.3">
      <c r="D127" s="55" t="s">
        <v>112</v>
      </c>
      <c r="E127" s="18" t="s">
        <v>113</v>
      </c>
      <c r="F127" s="18" t="s">
        <v>114</v>
      </c>
      <c r="G127" s="75" t="s">
        <v>115</v>
      </c>
      <c r="H127" s="75"/>
      <c r="I127" s="75"/>
      <c r="J127" s="75"/>
      <c r="K127" s="75"/>
      <c r="L127" s="75"/>
      <c r="N127" s="59"/>
      <c r="S127" s="53" t="s">
        <v>132</v>
      </c>
      <c r="AA127" s="60"/>
    </row>
    <row r="128" spans="4:27" ht="57.6" customHeight="1" x14ac:dyDescent="0.3">
      <c r="D128" s="55" t="s">
        <v>116</v>
      </c>
      <c r="E128" s="18" t="s">
        <v>117</v>
      </c>
      <c r="F128" s="18" t="s">
        <v>118</v>
      </c>
      <c r="G128" s="75" t="s">
        <v>119</v>
      </c>
      <c r="H128" s="75"/>
      <c r="I128" s="75"/>
      <c r="J128" s="75"/>
      <c r="K128" s="75"/>
      <c r="L128" s="75"/>
      <c r="N128" s="59"/>
      <c r="AA128" s="60"/>
    </row>
    <row r="129" spans="4:27" ht="66.599999999999994" customHeight="1" x14ac:dyDescent="0.3">
      <c r="D129" s="55" t="s">
        <v>120</v>
      </c>
      <c r="E129" s="18" t="s">
        <v>121</v>
      </c>
      <c r="F129" s="18" t="s">
        <v>122</v>
      </c>
      <c r="G129" s="75" t="s">
        <v>123</v>
      </c>
      <c r="H129" s="75"/>
      <c r="I129" s="75"/>
      <c r="J129" s="75"/>
      <c r="K129" s="75"/>
      <c r="L129" s="75"/>
      <c r="N129" s="59"/>
      <c r="S129" s="61" t="s">
        <v>133</v>
      </c>
      <c r="AA129" s="60"/>
    </row>
    <row r="130" spans="4:27" x14ac:dyDescent="0.3">
      <c r="N130" s="59"/>
      <c r="S130" s="48"/>
      <c r="AA130" s="60"/>
    </row>
    <row r="131" spans="4:27" x14ac:dyDescent="0.3">
      <c r="N131" s="59"/>
      <c r="S131" s="53" t="s">
        <v>134</v>
      </c>
      <c r="AA131" s="60"/>
    </row>
    <row r="132" spans="4:27" x14ac:dyDescent="0.3">
      <c r="N132" s="59"/>
      <c r="S132" s="48"/>
      <c r="AA132" s="60"/>
    </row>
    <row r="133" spans="4:27" x14ac:dyDescent="0.3">
      <c r="N133" s="59"/>
      <c r="S133" s="53" t="s">
        <v>135</v>
      </c>
      <c r="AA133" s="60"/>
    </row>
    <row r="134" spans="4:27" ht="15" thickBot="1" x14ac:dyDescent="0.35">
      <c r="N134" s="62"/>
      <c r="O134" s="63"/>
      <c r="P134" s="63"/>
      <c r="Q134" s="63"/>
      <c r="R134" s="63"/>
      <c r="S134" s="63"/>
      <c r="T134" s="63"/>
      <c r="U134" s="63"/>
      <c r="V134" s="63"/>
      <c r="W134" s="63"/>
      <c r="X134" s="63"/>
      <c r="Y134" s="63"/>
      <c r="Z134" s="63"/>
      <c r="AA134" s="64"/>
    </row>
    <row r="136" spans="4:27" ht="15" thickBot="1" x14ac:dyDescent="0.35"/>
    <row r="137" spans="4:27" ht="23.4" x14ac:dyDescent="0.3">
      <c r="G137" s="65" t="s">
        <v>144</v>
      </c>
      <c r="H137" s="57"/>
      <c r="I137" s="57"/>
      <c r="J137" s="57"/>
      <c r="K137" s="57"/>
      <c r="L137" s="57"/>
      <c r="M137" s="57"/>
      <c r="N137" s="57"/>
      <c r="O137" s="57"/>
      <c r="P137" s="57"/>
      <c r="Q137" s="58"/>
    </row>
    <row r="138" spans="4:27" x14ac:dyDescent="0.3">
      <c r="G138" s="59"/>
      <c r="Q138" s="60"/>
    </row>
    <row r="139" spans="4:27" ht="18" x14ac:dyDescent="0.3">
      <c r="G139" s="66" t="s">
        <v>124</v>
      </c>
      <c r="Q139" s="60"/>
    </row>
    <row r="140" spans="4:27" x14ac:dyDescent="0.3">
      <c r="G140" s="67"/>
      <c r="Q140" s="60"/>
    </row>
    <row r="141" spans="4:27" x14ac:dyDescent="0.3">
      <c r="G141" s="68" t="s">
        <v>125</v>
      </c>
      <c r="Q141" s="60"/>
    </row>
    <row r="142" spans="4:27" x14ac:dyDescent="0.3">
      <c r="G142" s="67"/>
      <c r="Q142" s="60"/>
    </row>
    <row r="143" spans="4:27" x14ac:dyDescent="0.3">
      <c r="G143" s="68" t="s">
        <v>126</v>
      </c>
      <c r="Q143" s="60"/>
    </row>
    <row r="144" spans="4:27" x14ac:dyDescent="0.3">
      <c r="G144" s="59"/>
      <c r="Q144" s="60"/>
    </row>
    <row r="145" spans="7:17" x14ac:dyDescent="0.3">
      <c r="G145" s="59"/>
      <c r="Q145" s="60"/>
    </row>
    <row r="146" spans="7:17" x14ac:dyDescent="0.3">
      <c r="G146" s="59"/>
      <c r="Q146" s="60"/>
    </row>
    <row r="147" spans="7:17" ht="18" x14ac:dyDescent="0.3">
      <c r="G147" s="66" t="s">
        <v>94</v>
      </c>
      <c r="Q147" s="60"/>
    </row>
    <row r="148" spans="7:17" x14ac:dyDescent="0.3">
      <c r="G148" s="59"/>
      <c r="Q148" s="60"/>
    </row>
    <row r="149" spans="7:17" ht="28.8" x14ac:dyDescent="0.3">
      <c r="G149" s="69" t="s">
        <v>95</v>
      </c>
      <c r="H149" s="54" t="s">
        <v>96</v>
      </c>
      <c r="I149" s="54" t="s">
        <v>97</v>
      </c>
      <c r="J149" s="79" t="s">
        <v>98</v>
      </c>
      <c r="K149" s="79"/>
      <c r="L149" s="79"/>
      <c r="M149" s="79"/>
      <c r="Q149" s="60"/>
    </row>
    <row r="150" spans="7:17" ht="39.6" customHeight="1" x14ac:dyDescent="0.3">
      <c r="G150" s="70" t="s">
        <v>99</v>
      </c>
      <c r="H150" s="18" t="s">
        <v>100</v>
      </c>
      <c r="I150" s="18" t="s">
        <v>101</v>
      </c>
      <c r="J150" s="75" t="s">
        <v>102</v>
      </c>
      <c r="K150" s="75"/>
      <c r="L150" s="75"/>
      <c r="M150" s="75"/>
      <c r="Q150" s="60"/>
    </row>
    <row r="151" spans="7:17" ht="44.4" customHeight="1" x14ac:dyDescent="0.3">
      <c r="G151" s="70" t="s">
        <v>103</v>
      </c>
      <c r="H151" s="18" t="s">
        <v>104</v>
      </c>
      <c r="I151" s="18" t="s">
        <v>105</v>
      </c>
      <c r="J151" s="75" t="s">
        <v>106</v>
      </c>
      <c r="K151" s="75"/>
      <c r="L151" s="75"/>
      <c r="M151" s="75"/>
      <c r="Q151" s="60"/>
    </row>
    <row r="152" spans="7:17" ht="57.6" x14ac:dyDescent="0.3">
      <c r="G152" s="70" t="s">
        <v>56</v>
      </c>
      <c r="H152" s="18" t="s">
        <v>107</v>
      </c>
      <c r="I152" s="18" t="s">
        <v>108</v>
      </c>
      <c r="J152" s="75" t="s">
        <v>109</v>
      </c>
      <c r="K152" s="75"/>
      <c r="L152" s="75"/>
      <c r="M152" s="75"/>
      <c r="Q152" s="60"/>
    </row>
    <row r="153" spans="7:17" x14ac:dyDescent="0.3">
      <c r="G153" s="59"/>
      <c r="Q153" s="60"/>
    </row>
    <row r="154" spans="7:17" x14ac:dyDescent="0.3">
      <c r="G154" s="59"/>
      <c r="Q154" s="60"/>
    </row>
    <row r="155" spans="7:17" ht="18" x14ac:dyDescent="0.3">
      <c r="G155" s="66" t="s">
        <v>110</v>
      </c>
      <c r="Q155" s="60"/>
    </row>
    <row r="156" spans="7:17" x14ac:dyDescent="0.3">
      <c r="G156" s="59"/>
      <c r="Q156" s="60"/>
    </row>
    <row r="157" spans="7:17" ht="28.8" x14ac:dyDescent="0.3">
      <c r="G157" s="69" t="s">
        <v>111</v>
      </c>
      <c r="H157" s="54" t="s">
        <v>96</v>
      </c>
      <c r="I157" s="54" t="s">
        <v>97</v>
      </c>
      <c r="J157" s="79" t="s">
        <v>61</v>
      </c>
      <c r="K157" s="79"/>
      <c r="L157" s="79"/>
      <c r="M157" s="79"/>
      <c r="N157" s="79"/>
      <c r="Q157" s="60"/>
    </row>
    <row r="158" spans="7:17" ht="42" customHeight="1" x14ac:dyDescent="0.3">
      <c r="G158" s="70" t="s">
        <v>112</v>
      </c>
      <c r="H158" s="18" t="s">
        <v>113</v>
      </c>
      <c r="I158" s="18" t="s">
        <v>114</v>
      </c>
      <c r="J158" s="75" t="s">
        <v>115</v>
      </c>
      <c r="K158" s="75"/>
      <c r="L158" s="75"/>
      <c r="M158" s="75"/>
      <c r="N158" s="75"/>
      <c r="Q158" s="60"/>
    </row>
    <row r="159" spans="7:17" ht="45.6" customHeight="1" x14ac:dyDescent="0.3">
      <c r="G159" s="70" t="s">
        <v>116</v>
      </c>
      <c r="H159" s="18" t="s">
        <v>117</v>
      </c>
      <c r="I159" s="18" t="s">
        <v>118</v>
      </c>
      <c r="J159" s="75" t="s">
        <v>119</v>
      </c>
      <c r="K159" s="75"/>
      <c r="L159" s="75"/>
      <c r="M159" s="75"/>
      <c r="N159" s="75"/>
      <c r="Q159" s="60"/>
    </row>
    <row r="160" spans="7:17" ht="51.6" customHeight="1" x14ac:dyDescent="0.3">
      <c r="G160" s="70" t="s">
        <v>120</v>
      </c>
      <c r="H160" s="18" t="s">
        <v>121</v>
      </c>
      <c r="I160" s="18" t="s">
        <v>122</v>
      </c>
      <c r="J160" s="75" t="s">
        <v>123</v>
      </c>
      <c r="K160" s="75"/>
      <c r="L160" s="75"/>
      <c r="M160" s="75"/>
      <c r="N160" s="75"/>
      <c r="Q160" s="60"/>
    </row>
    <row r="161" spans="7:17" x14ac:dyDescent="0.3">
      <c r="G161" s="59"/>
      <c r="Q161" s="60"/>
    </row>
    <row r="162" spans="7:17" x14ac:dyDescent="0.3">
      <c r="G162" s="59"/>
      <c r="Q162" s="60"/>
    </row>
    <row r="163" spans="7:17" ht="18" x14ac:dyDescent="0.3">
      <c r="G163" s="66" t="s">
        <v>127</v>
      </c>
      <c r="Q163" s="60"/>
    </row>
    <row r="164" spans="7:17" x14ac:dyDescent="0.3">
      <c r="G164" s="59"/>
      <c r="Q164" s="60"/>
    </row>
    <row r="165" spans="7:17" ht="15.6" x14ac:dyDescent="0.3">
      <c r="G165" s="71" t="s">
        <v>128</v>
      </c>
      <c r="Q165" s="60"/>
    </row>
    <row r="166" spans="7:17" x14ac:dyDescent="0.3">
      <c r="G166" s="67"/>
      <c r="Q166" s="60"/>
    </row>
    <row r="167" spans="7:17" x14ac:dyDescent="0.3">
      <c r="G167" s="68" t="s">
        <v>129</v>
      </c>
      <c r="Q167" s="60"/>
    </row>
    <row r="168" spans="7:17" x14ac:dyDescent="0.3">
      <c r="G168" s="67"/>
      <c r="Q168" s="60"/>
    </row>
    <row r="169" spans="7:17" x14ac:dyDescent="0.3">
      <c r="G169" s="68" t="s">
        <v>130</v>
      </c>
      <c r="Q169" s="60"/>
    </row>
    <row r="170" spans="7:17" x14ac:dyDescent="0.3">
      <c r="G170" s="67"/>
      <c r="Q170" s="60"/>
    </row>
    <row r="171" spans="7:17" x14ac:dyDescent="0.3">
      <c r="G171" s="68" t="s">
        <v>131</v>
      </c>
      <c r="Q171" s="60"/>
    </row>
    <row r="172" spans="7:17" x14ac:dyDescent="0.3">
      <c r="G172" s="67"/>
      <c r="Q172" s="60"/>
    </row>
    <row r="173" spans="7:17" x14ac:dyDescent="0.3">
      <c r="G173" s="68" t="s">
        <v>132</v>
      </c>
      <c r="Q173" s="60"/>
    </row>
    <row r="174" spans="7:17" x14ac:dyDescent="0.3">
      <c r="G174" s="59"/>
      <c r="Q174" s="60"/>
    </row>
    <row r="175" spans="7:17" ht="15.6" x14ac:dyDescent="0.3">
      <c r="G175" s="71" t="s">
        <v>133</v>
      </c>
      <c r="Q175" s="60"/>
    </row>
    <row r="176" spans="7:17" x14ac:dyDescent="0.3">
      <c r="G176" s="67"/>
      <c r="Q176" s="60"/>
    </row>
    <row r="177" spans="7:20" x14ac:dyDescent="0.3">
      <c r="G177" s="68" t="s">
        <v>134</v>
      </c>
      <c r="Q177" s="60"/>
    </row>
    <row r="178" spans="7:20" x14ac:dyDescent="0.3">
      <c r="G178" s="67"/>
      <c r="Q178" s="60"/>
    </row>
    <row r="179" spans="7:20" x14ac:dyDescent="0.3">
      <c r="G179" s="68" t="s">
        <v>135</v>
      </c>
      <c r="Q179" s="60"/>
    </row>
    <row r="180" spans="7:20" x14ac:dyDescent="0.3">
      <c r="G180" s="59"/>
      <c r="Q180" s="60"/>
    </row>
    <row r="181" spans="7:20" x14ac:dyDescent="0.3">
      <c r="G181" s="59"/>
      <c r="Q181" s="60"/>
    </row>
    <row r="182" spans="7:20" x14ac:dyDescent="0.3">
      <c r="G182" s="59"/>
      <c r="Q182" s="60"/>
    </row>
    <row r="183" spans="7:20" ht="18" x14ac:dyDescent="0.3">
      <c r="G183" s="66" t="s">
        <v>136</v>
      </c>
      <c r="Q183" s="60"/>
    </row>
    <row r="184" spans="7:20" x14ac:dyDescent="0.3">
      <c r="G184" s="59"/>
      <c r="Q184" s="60"/>
    </row>
    <row r="185" spans="7:20" ht="60" customHeight="1" x14ac:dyDescent="0.3">
      <c r="G185" s="81" t="s">
        <v>137</v>
      </c>
      <c r="H185" s="82"/>
      <c r="I185" s="82"/>
      <c r="J185" s="82"/>
      <c r="K185" s="82"/>
      <c r="L185" s="82"/>
      <c r="M185" s="82"/>
      <c r="N185" s="82"/>
      <c r="O185" s="82"/>
      <c r="P185" s="82"/>
      <c r="Q185" s="83"/>
    </row>
    <row r="186" spans="7:20" ht="15" thickBot="1" x14ac:dyDescent="0.35">
      <c r="G186" s="62"/>
      <c r="H186" s="63"/>
      <c r="I186" s="63"/>
      <c r="J186" s="63"/>
      <c r="K186" s="63"/>
      <c r="L186" s="63"/>
      <c r="M186" s="63"/>
      <c r="N186" s="63"/>
      <c r="O186" s="63"/>
      <c r="P186" s="63"/>
      <c r="Q186" s="64"/>
    </row>
    <row r="189" spans="7:20" ht="28.8" customHeight="1" x14ac:dyDescent="0.3">
      <c r="J189" s="72" t="s">
        <v>145</v>
      </c>
      <c r="K189" s="72" t="s">
        <v>146</v>
      </c>
      <c r="L189" s="77" t="s">
        <v>61</v>
      </c>
      <c r="M189" s="77"/>
      <c r="N189" s="77"/>
      <c r="O189" s="77"/>
      <c r="P189" s="77"/>
      <c r="Q189" s="77"/>
      <c r="R189" s="77"/>
      <c r="S189" s="77"/>
      <c r="T189" s="73"/>
    </row>
    <row r="190" spans="7:20" ht="34.799999999999997" customHeight="1" x14ac:dyDescent="0.3">
      <c r="J190" s="72" t="s">
        <v>147</v>
      </c>
      <c r="K190" s="51" t="s">
        <v>148</v>
      </c>
      <c r="L190" s="78" t="s">
        <v>149</v>
      </c>
      <c r="M190" s="78"/>
      <c r="N190" s="78"/>
      <c r="O190" s="78"/>
      <c r="P190" s="78"/>
      <c r="Q190" s="78"/>
      <c r="R190" s="78"/>
      <c r="S190" s="78"/>
      <c r="T190" s="78"/>
    </row>
    <row r="191" spans="7:20" ht="39.6" customHeight="1" x14ac:dyDescent="0.3">
      <c r="J191" s="72" t="s">
        <v>150</v>
      </c>
      <c r="K191" s="51" t="s">
        <v>151</v>
      </c>
      <c r="L191" s="78" t="s">
        <v>152</v>
      </c>
      <c r="M191" s="78"/>
      <c r="N191" s="78"/>
      <c r="O191" s="78"/>
      <c r="P191" s="78"/>
      <c r="Q191" s="78"/>
      <c r="R191" s="78"/>
      <c r="S191" s="78"/>
      <c r="T191" s="78"/>
    </row>
    <row r="192" spans="7:20" ht="49.2" customHeight="1" x14ac:dyDescent="0.3">
      <c r="J192" s="72" t="s">
        <v>153</v>
      </c>
      <c r="K192" s="51" t="s">
        <v>154</v>
      </c>
      <c r="L192" s="78" t="s">
        <v>155</v>
      </c>
      <c r="M192" s="78"/>
      <c r="N192" s="78"/>
      <c r="O192" s="78"/>
      <c r="P192" s="78"/>
      <c r="Q192" s="78"/>
      <c r="R192" s="78"/>
      <c r="S192" s="78"/>
      <c r="T192" s="78"/>
    </row>
    <row r="193" spans="10:20" ht="35.4" customHeight="1" x14ac:dyDescent="0.3">
      <c r="J193" s="72" t="s">
        <v>156</v>
      </c>
      <c r="K193" s="51" t="s">
        <v>157</v>
      </c>
      <c r="L193" s="78" t="s">
        <v>158</v>
      </c>
      <c r="M193" s="78"/>
      <c r="N193" s="78"/>
      <c r="O193" s="78"/>
      <c r="P193" s="78"/>
      <c r="Q193" s="78"/>
      <c r="R193" s="78"/>
      <c r="S193" s="78"/>
      <c r="T193" s="78"/>
    </row>
    <row r="194" spans="10:20" ht="41.4" customHeight="1" x14ac:dyDescent="0.3">
      <c r="J194" s="72" t="s">
        <v>159</v>
      </c>
      <c r="K194" s="51" t="s">
        <v>160</v>
      </c>
      <c r="L194" s="78" t="s">
        <v>161</v>
      </c>
      <c r="M194" s="78"/>
      <c r="N194" s="78"/>
      <c r="O194" s="78"/>
      <c r="P194" s="78"/>
      <c r="Q194" s="78"/>
      <c r="R194" s="78"/>
      <c r="S194" s="78"/>
      <c r="T194" s="78"/>
    </row>
    <row r="195" spans="10:20" ht="45" customHeight="1" x14ac:dyDescent="0.3">
      <c r="J195" s="72" t="s">
        <v>162</v>
      </c>
      <c r="K195" s="51" t="s">
        <v>163</v>
      </c>
      <c r="L195" s="78" t="s">
        <v>164</v>
      </c>
      <c r="M195" s="78"/>
      <c r="N195" s="78"/>
      <c r="O195" s="78"/>
      <c r="P195" s="78"/>
      <c r="Q195" s="78"/>
      <c r="R195" s="78"/>
      <c r="S195" s="78"/>
      <c r="T195" s="78"/>
    </row>
  </sheetData>
  <mergeCells count="31">
    <mergeCell ref="L194:T194"/>
    <mergeCell ref="L195:T195"/>
    <mergeCell ref="J149:M149"/>
    <mergeCell ref="J150:M150"/>
    <mergeCell ref="J151:M151"/>
    <mergeCell ref="J152:M152"/>
    <mergeCell ref="J157:N157"/>
    <mergeCell ref="J158:N158"/>
    <mergeCell ref="J159:N159"/>
    <mergeCell ref="J160:N160"/>
    <mergeCell ref="G119:L119"/>
    <mergeCell ref="S28:AB28"/>
    <mergeCell ref="D64:L64"/>
    <mergeCell ref="G185:Q185"/>
    <mergeCell ref="L193:T193"/>
    <mergeCell ref="L189:S189"/>
    <mergeCell ref="L190:T190"/>
    <mergeCell ref="L191:T191"/>
    <mergeCell ref="L192:T192"/>
    <mergeCell ref="G120:L120"/>
    <mergeCell ref="G121:L121"/>
    <mergeCell ref="G122:L122"/>
    <mergeCell ref="G126:K126"/>
    <mergeCell ref="G127:L127"/>
    <mergeCell ref="G128:L128"/>
    <mergeCell ref="G129:L129"/>
    <mergeCell ref="E4:K4"/>
    <mergeCell ref="E5:G5"/>
    <mergeCell ref="D4:D5"/>
    <mergeCell ref="H5:J5"/>
    <mergeCell ref="D3:K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Batch 2, Raw data</vt:lpstr>
      <vt:lpstr>Variable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Nadpurohit</dc:creator>
  <cp:lastModifiedBy>Rajan Nadpurohit</cp:lastModifiedBy>
  <dcterms:created xsi:type="dcterms:W3CDTF">2026-04-02T00:08:50Z</dcterms:created>
  <dcterms:modified xsi:type="dcterms:W3CDTF">2026-04-07T12:56:28Z</dcterms:modified>
</cp:coreProperties>
</file>