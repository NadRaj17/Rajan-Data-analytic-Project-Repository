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A\Walsh MS\MS Term 3\QM 640, Capstone Project\Data collation and compilation\"/>
    </mc:Choice>
  </mc:AlternateContent>
  <xr:revisionPtr revIDLastSave="0" documentId="13_ncr:1_{ECE2A451-89F1-4423-8470-17EC9C73496C}" xr6:coauthVersionLast="47" xr6:coauthVersionMax="47" xr10:uidLastSave="{00000000-0000-0000-0000-000000000000}"/>
  <bookViews>
    <workbookView xWindow="-108" yWindow="-108" windowWidth="23256" windowHeight="14616" activeTab="1" xr2:uid="{0FD05D62-AE94-4C80-904F-49CFEC1EBDC0}"/>
  </bookViews>
  <sheets>
    <sheet name="Batch 4, Raw" sheetId="1" r:id="rId1"/>
    <sheet name="Variable Data &amp;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8" i="2"/>
  <c r="AC31" i="1" l="1"/>
  <c r="AC32" i="1"/>
  <c r="AC33" i="1"/>
  <c r="AC34" i="1"/>
  <c r="AC35" i="1"/>
  <c r="M66" i="1"/>
  <c r="M67" i="1"/>
  <c r="M68" i="1"/>
  <c r="M69" i="1"/>
  <c r="M70" i="1"/>
  <c r="L66" i="1"/>
  <c r="L67" i="1"/>
  <c r="L68" i="1"/>
  <c r="L69" i="1"/>
  <c r="L70" i="1"/>
  <c r="I66" i="1"/>
  <c r="I67" i="1"/>
  <c r="I68" i="1"/>
  <c r="I69" i="1"/>
  <c r="I70" i="1"/>
  <c r="AA31" i="1"/>
  <c r="AA32" i="1"/>
  <c r="AA33" i="1"/>
  <c r="AA34" i="1"/>
  <c r="AA35" i="1"/>
  <c r="Z31" i="1"/>
  <c r="Z32" i="1"/>
  <c r="Z33" i="1"/>
  <c r="Z34" i="1"/>
  <c r="Z35" i="1"/>
  <c r="W31" i="1"/>
  <c r="W32" i="1"/>
  <c r="W33" i="1"/>
  <c r="W34" i="1"/>
  <c r="W35" i="1"/>
  <c r="S31" i="1"/>
  <c r="T31" i="1"/>
  <c r="U31" i="1" s="1"/>
  <c r="S32" i="1"/>
  <c r="T32" i="1"/>
  <c r="U32" i="1"/>
  <c r="S33" i="1"/>
  <c r="U33" i="1" s="1"/>
  <c r="T33" i="1"/>
  <c r="S34" i="1"/>
  <c r="T34" i="1"/>
  <c r="U34" i="1"/>
  <c r="S35" i="1"/>
  <c r="T35" i="1"/>
  <c r="U35" i="1"/>
  <c r="R31" i="1"/>
  <c r="R32" i="1"/>
  <c r="R33" i="1"/>
  <c r="R34" i="1"/>
  <c r="R35" i="1"/>
  <c r="L31" i="1"/>
  <c r="L32" i="1"/>
  <c r="L33" i="1"/>
  <c r="L34" i="1"/>
  <c r="L35" i="1"/>
  <c r="F32" i="1"/>
  <c r="F33" i="1"/>
  <c r="F34" i="1"/>
  <c r="F31" i="1"/>
  <c r="AC26" i="1"/>
  <c r="AC27" i="1"/>
  <c r="AC28" i="1"/>
  <c r="AC29" i="1"/>
  <c r="AC30" i="1"/>
  <c r="M61" i="1"/>
  <c r="M62" i="1"/>
  <c r="M63" i="1"/>
  <c r="M64" i="1"/>
  <c r="M65" i="1"/>
  <c r="L61" i="1"/>
  <c r="L62" i="1"/>
  <c r="L63" i="1"/>
  <c r="L64" i="1"/>
  <c r="L65" i="1"/>
  <c r="I61" i="1"/>
  <c r="I62" i="1"/>
  <c r="I63" i="1"/>
  <c r="I64" i="1"/>
  <c r="I65" i="1"/>
  <c r="AA26" i="1"/>
  <c r="AA27" i="1"/>
  <c r="AA28" i="1"/>
  <c r="AA29" i="1"/>
  <c r="AA30" i="1"/>
  <c r="Z26" i="1"/>
  <c r="Z27" i="1"/>
  <c r="Z28" i="1"/>
  <c r="Z29" i="1"/>
  <c r="Z30" i="1"/>
  <c r="W26" i="1"/>
  <c r="W27" i="1"/>
  <c r="W28" i="1"/>
  <c r="W29" i="1"/>
  <c r="W30" i="1"/>
  <c r="U26" i="1"/>
  <c r="U27" i="1"/>
  <c r="U28" i="1"/>
  <c r="U29" i="1"/>
  <c r="U30" i="1"/>
  <c r="T26" i="1"/>
  <c r="T27" i="1"/>
  <c r="T28" i="1"/>
  <c r="T29" i="1"/>
  <c r="T30" i="1"/>
  <c r="S26" i="1"/>
  <c r="S27" i="1"/>
  <c r="S28" i="1"/>
  <c r="S29" i="1"/>
  <c r="S30" i="1"/>
  <c r="R26" i="1"/>
  <c r="R27" i="1"/>
  <c r="R28" i="1"/>
  <c r="R29" i="1"/>
  <c r="R30" i="1"/>
  <c r="L26" i="1"/>
  <c r="L27" i="1"/>
  <c r="L28" i="1"/>
  <c r="L29" i="1"/>
  <c r="L30" i="1"/>
  <c r="F27" i="1"/>
  <c r="F28" i="1"/>
  <c r="F29" i="1"/>
  <c r="F26" i="1"/>
  <c r="L56" i="1"/>
  <c r="L57" i="1"/>
  <c r="L58" i="1"/>
  <c r="L59" i="1"/>
  <c r="L60" i="1"/>
  <c r="I56" i="1"/>
  <c r="I57" i="1"/>
  <c r="I58" i="1"/>
  <c r="I59" i="1"/>
  <c r="I60" i="1"/>
  <c r="Z21" i="1"/>
  <c r="Z22" i="1"/>
  <c r="Z23" i="1"/>
  <c r="Z24" i="1"/>
  <c r="Z25" i="1"/>
  <c r="R21" i="1"/>
  <c r="W21" i="1" s="1"/>
  <c r="R22" i="1"/>
  <c r="W22" i="1" s="1"/>
  <c r="R23" i="1"/>
  <c r="W23" i="1" s="1"/>
  <c r="R24" i="1"/>
  <c r="W24" i="1" s="1"/>
  <c r="AA24" i="1" s="1"/>
  <c r="R25" i="1"/>
  <c r="L21" i="1"/>
  <c r="T21" i="1" s="1"/>
  <c r="L22" i="1"/>
  <c r="T22" i="1" s="1"/>
  <c r="L23" i="1"/>
  <c r="L24" i="1"/>
  <c r="S24" i="1" s="1"/>
  <c r="L25" i="1"/>
  <c r="F22" i="1"/>
  <c r="F23" i="1"/>
  <c r="F24" i="1"/>
  <c r="F21" i="1"/>
  <c r="L55" i="1"/>
  <c r="L54" i="1"/>
  <c r="L53" i="1"/>
  <c r="L52" i="1"/>
  <c r="L51" i="1"/>
  <c r="I51" i="1"/>
  <c r="M51" i="1" s="1"/>
  <c r="I52" i="1"/>
  <c r="I53" i="1"/>
  <c r="I54" i="1"/>
  <c r="I55" i="1"/>
  <c r="T23" i="1" l="1"/>
  <c r="M56" i="1"/>
  <c r="M60" i="1"/>
  <c r="M59" i="1"/>
  <c r="S25" i="1"/>
  <c r="M58" i="1"/>
  <c r="M57" i="1"/>
  <c r="AA23" i="1"/>
  <c r="AA22" i="1"/>
  <c r="AA21" i="1"/>
  <c r="S21" i="1"/>
  <c r="U21" i="1" s="1"/>
  <c r="AC21" i="1" s="1"/>
  <c r="T25" i="1"/>
  <c r="T24" i="1"/>
  <c r="U24" i="1" s="1"/>
  <c r="AC24" i="1" s="1"/>
  <c r="W25" i="1"/>
  <c r="AA25" i="1" s="1"/>
  <c r="S23" i="1"/>
  <c r="S22" i="1"/>
  <c r="U22" i="1" s="1"/>
  <c r="AC22" i="1" s="1"/>
  <c r="M52" i="1"/>
  <c r="M54" i="1"/>
  <c r="M53" i="1"/>
  <c r="M55" i="1"/>
  <c r="Z16" i="1"/>
  <c r="Z17" i="1"/>
  <c r="Z18" i="1"/>
  <c r="Z19" i="1"/>
  <c r="Z20" i="1"/>
  <c r="R16" i="1"/>
  <c r="W16" i="1" s="1"/>
  <c r="R17" i="1"/>
  <c r="W17" i="1" s="1"/>
  <c r="R18" i="1"/>
  <c r="W18" i="1" s="1"/>
  <c r="R19" i="1"/>
  <c r="W19" i="1" s="1"/>
  <c r="R20" i="1"/>
  <c r="W20" i="1" s="1"/>
  <c r="L16" i="1"/>
  <c r="L17" i="1"/>
  <c r="L18" i="1"/>
  <c r="L19" i="1"/>
  <c r="L20" i="1"/>
  <c r="F17" i="1"/>
  <c r="F18" i="1"/>
  <c r="F19" i="1"/>
  <c r="F16" i="1"/>
  <c r="L46" i="1"/>
  <c r="L47" i="1"/>
  <c r="L48" i="1"/>
  <c r="L49" i="1"/>
  <c r="L50" i="1"/>
  <c r="I46" i="1"/>
  <c r="I47" i="1"/>
  <c r="I48" i="1"/>
  <c r="I49" i="1"/>
  <c r="I50" i="1"/>
  <c r="Z11" i="1"/>
  <c r="Z12" i="1"/>
  <c r="Z13" i="1"/>
  <c r="Z14" i="1"/>
  <c r="Z15" i="1"/>
  <c r="R11" i="1"/>
  <c r="W11" i="1" s="1"/>
  <c r="R12" i="1"/>
  <c r="W12" i="1" s="1"/>
  <c r="R13" i="1"/>
  <c r="R14" i="1"/>
  <c r="W14" i="1" s="1"/>
  <c r="R15" i="1"/>
  <c r="W15" i="1" s="1"/>
  <c r="L11" i="1"/>
  <c r="L12" i="1"/>
  <c r="L13" i="1"/>
  <c r="L14" i="1"/>
  <c r="L15" i="1"/>
  <c r="F12" i="1"/>
  <c r="F13" i="1"/>
  <c r="F14" i="1"/>
  <c r="F11" i="1"/>
  <c r="L42" i="1"/>
  <c r="L43" i="1"/>
  <c r="L44" i="1"/>
  <c r="L45" i="1"/>
  <c r="L41" i="1"/>
  <c r="I42" i="1"/>
  <c r="I43" i="1"/>
  <c r="I44" i="1"/>
  <c r="I45" i="1"/>
  <c r="I41" i="1"/>
  <c r="Z7" i="1"/>
  <c r="Z8" i="1"/>
  <c r="Z9" i="1"/>
  <c r="Z10" i="1"/>
  <c r="Z6" i="1"/>
  <c r="R7" i="1"/>
  <c r="W7" i="1" s="1"/>
  <c r="R8" i="1"/>
  <c r="R9" i="1"/>
  <c r="W9" i="1" s="1"/>
  <c r="R10" i="1"/>
  <c r="W10" i="1" s="1"/>
  <c r="R6" i="1"/>
  <c r="W6" i="1" s="1"/>
  <c r="L7" i="1"/>
  <c r="L8" i="1"/>
  <c r="L9" i="1"/>
  <c r="L10" i="1"/>
  <c r="L6" i="1"/>
  <c r="F7" i="1"/>
  <c r="F8" i="1"/>
  <c r="F9" i="1"/>
  <c r="F6" i="1"/>
  <c r="U23" i="1" l="1"/>
  <c r="AC23" i="1" s="1"/>
  <c r="T9" i="1"/>
  <c r="T8" i="1"/>
  <c r="T15" i="1"/>
  <c r="S14" i="1"/>
  <c r="U25" i="1"/>
  <c r="AC25" i="1" s="1"/>
  <c r="T17" i="1"/>
  <c r="T16" i="1"/>
  <c r="S17" i="1"/>
  <c r="S16" i="1"/>
  <c r="T20" i="1"/>
  <c r="T19" i="1"/>
  <c r="T18" i="1"/>
  <c r="S20" i="1"/>
  <c r="S19" i="1"/>
  <c r="U19" i="1" s="1"/>
  <c r="AC19" i="1" s="1"/>
  <c r="S18" i="1"/>
  <c r="AA9" i="1"/>
  <c r="AA7" i="1"/>
  <c r="AA15" i="1"/>
  <c r="AA14" i="1"/>
  <c r="AA20" i="1"/>
  <c r="AA6" i="1"/>
  <c r="AA19" i="1"/>
  <c r="AA12" i="1"/>
  <c r="AA11" i="1"/>
  <c r="AA16" i="1"/>
  <c r="AA10" i="1"/>
  <c r="AA18" i="1"/>
  <c r="AA17" i="1"/>
  <c r="T10" i="1"/>
  <c r="M49" i="1"/>
  <c r="M48" i="1"/>
  <c r="M47" i="1"/>
  <c r="M43" i="1"/>
  <c r="M46" i="1"/>
  <c r="T13" i="1"/>
  <c r="S15" i="1"/>
  <c r="T14" i="1"/>
  <c r="T6" i="1"/>
  <c r="M50" i="1"/>
  <c r="S11" i="1"/>
  <c r="W13" i="1"/>
  <c r="AA13" i="1" s="1"/>
  <c r="S13" i="1"/>
  <c r="M45" i="1"/>
  <c r="M44" i="1"/>
  <c r="T12" i="1"/>
  <c r="T11" i="1"/>
  <c r="S9" i="1"/>
  <c r="S12" i="1"/>
  <c r="S10" i="1"/>
  <c r="S7" i="1"/>
  <c r="M42" i="1"/>
  <c r="M41" i="1"/>
  <c r="T7" i="1"/>
  <c r="S8" i="1"/>
  <c r="W8" i="1"/>
  <c r="AA8" i="1" s="1"/>
  <c r="S6" i="1"/>
  <c r="U20" i="1" l="1"/>
  <c r="AC20" i="1" s="1"/>
  <c r="U16" i="1"/>
  <c r="AC16" i="1" s="1"/>
  <c r="U17" i="1"/>
  <c r="AC17" i="1" s="1"/>
  <c r="U9" i="1"/>
  <c r="AC9" i="1" s="1"/>
  <c r="U14" i="1"/>
  <c r="AC14" i="1" s="1"/>
  <c r="U15" i="1"/>
  <c r="AC15" i="1" s="1"/>
  <c r="U8" i="1"/>
  <c r="AC8" i="1" s="1"/>
  <c r="U18" i="1"/>
  <c r="AC18" i="1" s="1"/>
  <c r="U10" i="1"/>
  <c r="AC10" i="1" s="1"/>
  <c r="U6" i="1"/>
  <c r="AC6" i="1" s="1"/>
  <c r="U11" i="1"/>
  <c r="AC11" i="1" s="1"/>
  <c r="U13" i="1"/>
  <c r="AC13" i="1" s="1"/>
  <c r="U12" i="1"/>
  <c r="AC12" i="1" s="1"/>
  <c r="U7" i="1"/>
  <c r="AC7" i="1" s="1"/>
</calcChain>
</file>

<file path=xl/sharedStrings.xml><?xml version="1.0" encoding="utf-8"?>
<sst xmlns="http://schemas.openxmlformats.org/spreadsheetml/2006/main" count="161" uniqueCount="98">
  <si>
    <t>Table 1: Financial Data and Computed Variables</t>
  </si>
  <si>
    <t>N</t>
  </si>
  <si>
    <t>Company Name</t>
  </si>
  <si>
    <t>BSE No/ NSE</t>
  </si>
  <si>
    <t>Year End</t>
  </si>
  <si>
    <t>Revenue</t>
  </si>
  <si>
    <t>Revenue Growth Rate in %</t>
  </si>
  <si>
    <t>Inventories</t>
  </si>
  <si>
    <t>Trade Receivables</t>
  </si>
  <si>
    <t>Cash Equivalents</t>
  </si>
  <si>
    <t>Loans &amp; Advances</t>
  </si>
  <si>
    <t>Other Asset Items</t>
  </si>
  <si>
    <t>Total Current Assets</t>
  </si>
  <si>
    <t>Trade Payables</t>
  </si>
  <si>
    <t>Advance from Customers</t>
  </si>
  <si>
    <t>Other Liability Items</t>
  </si>
  <si>
    <t>Short‑term Borrowings</t>
  </si>
  <si>
    <t>Lease Liabilities</t>
  </si>
  <si>
    <t>Total Current Liabilities</t>
  </si>
  <si>
    <t>Current Ratio</t>
  </si>
  <si>
    <t>Quick Ratio</t>
  </si>
  <si>
    <t>Liquidity Index</t>
  </si>
  <si>
    <t>Total assets</t>
  </si>
  <si>
    <t>Capital Employed</t>
  </si>
  <si>
    <t>Operating Profit</t>
  </si>
  <si>
    <t>Other Income (normal)</t>
  </si>
  <si>
    <t>EBIT</t>
  </si>
  <si>
    <t>ROCE%</t>
  </si>
  <si>
    <t>D/E Ratio</t>
  </si>
  <si>
    <t>Interaction LI*D/E</t>
  </si>
  <si>
    <t>Table 2: D/E</t>
  </si>
  <si>
    <t>BSE No / NSE</t>
  </si>
  <si>
    <t>Long‑term Borrowings</t>
  </si>
  <si>
    <t>Other Borrowings</t>
  </si>
  <si>
    <t>Total Debt</t>
  </si>
  <si>
    <t>Equity Capital</t>
  </si>
  <si>
    <t>Reserves</t>
  </si>
  <si>
    <t>Total Equity</t>
  </si>
  <si>
    <t>Omax Autos Ltd</t>
  </si>
  <si>
    <t>Divgi Torqtransfer Systems Ltd</t>
  </si>
  <si>
    <t>Akar Auto Industries Ltd</t>
  </si>
  <si>
    <t>IP Rings Ltd</t>
  </si>
  <si>
    <t>SAL Automotive Ltd</t>
  </si>
  <si>
    <t>Sundaram Brake Linings Ltd</t>
  </si>
  <si>
    <t>Dependant Variable</t>
  </si>
  <si>
    <t>Independent (Predictor) Variables</t>
  </si>
  <si>
    <t>Main Effects</t>
  </si>
  <si>
    <t>2 way Interactions</t>
  </si>
  <si>
    <t>3 Way Interaction</t>
  </si>
  <si>
    <t>LI</t>
  </si>
  <si>
    <t>D/E</t>
  </si>
  <si>
    <t>Revenue Growth %</t>
  </si>
  <si>
    <t>LI*D/E</t>
  </si>
  <si>
    <t>LI*Revenue Growth %</t>
  </si>
  <si>
    <t>D/E*Revenue Growth %</t>
  </si>
  <si>
    <t>LI*D/E*Revenue Growth %</t>
  </si>
  <si>
    <t>Batch 4 data</t>
  </si>
  <si>
    <t>Variable</t>
  </si>
  <si>
    <t>Mean</t>
  </si>
  <si>
    <t>Median</t>
  </si>
  <si>
    <t>Std. Dev</t>
  </si>
  <si>
    <t>Minimum</t>
  </si>
  <si>
    <t>Maximum</t>
  </si>
  <si>
    <t>Q1</t>
  </si>
  <si>
    <t>Q3</t>
  </si>
  <si>
    <t>LI (Liquidity Index)</t>
  </si>
  <si>
    <t>D/E (Debt/Equity)</t>
  </si>
  <si>
    <t>LI * D/E</t>
  </si>
  <si>
    <t>LI * Rev Growth %</t>
  </si>
  <si>
    <t>D/E * Rev Growth %</t>
  </si>
  <si>
    <t>LI * D/E * Rev Growth %</t>
  </si>
  <si>
    <t>1. ROCE% (Return on Capital Employed)</t>
  </si>
  <si>
    <r>
      <t>Performance: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Mean of 17.53%</t>
    </r>
    <r>
      <rPr>
        <sz val="11"/>
        <color theme="1"/>
        <rFont val="Aptos Narrow"/>
        <family val="2"/>
        <scheme val="minor"/>
      </rPr>
      <t xml:space="preserve"> and a </t>
    </r>
    <r>
      <rPr>
        <b/>
        <sz val="11"/>
        <color theme="1"/>
        <rFont val="Aptos Narrow"/>
        <family val="2"/>
        <scheme val="minor"/>
      </rPr>
      <t>Median of 17.55%</t>
    </r>
    <r>
      <rPr>
        <sz val="11"/>
        <color theme="1"/>
        <rFont val="Aptos Narrow"/>
        <family val="2"/>
        <scheme val="minor"/>
      </rPr>
      <t>, this is your most "well-behaved" variable. Since the mean and median are almost identical, the distribution is very symmetrical.</t>
    </r>
  </si>
  <si>
    <r>
      <t>Volatility: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Std. Dev of 10.83</t>
    </r>
    <r>
      <rPr>
        <sz val="11"/>
        <color theme="1"/>
        <rFont val="Aptos Narrow"/>
        <family val="2"/>
        <scheme val="minor"/>
      </rPr>
      <t xml:space="preserve"> is moderate. Most of your data (</t>
    </r>
    <r>
      <rPr>
        <b/>
        <sz val="11"/>
        <color theme="1"/>
        <rFont val="Aptos Narrow"/>
        <family val="2"/>
        <scheme val="minor"/>
      </rPr>
      <t>Q1 to Q3</t>
    </r>
    <r>
      <rPr>
        <sz val="11"/>
        <color theme="1"/>
        <rFont val="Aptos Narrow"/>
        <family val="2"/>
        <scheme val="minor"/>
      </rPr>
      <t xml:space="preserve">) sits between </t>
    </r>
    <r>
      <rPr>
        <b/>
        <sz val="11"/>
        <color theme="1"/>
        <rFont val="Aptos Narrow"/>
        <family val="2"/>
        <scheme val="minor"/>
      </rPr>
      <t>~10% and 22%</t>
    </r>
    <r>
      <rPr>
        <sz val="11"/>
        <color theme="1"/>
        <rFont val="Aptos Narrow"/>
        <family val="2"/>
        <scheme val="minor"/>
      </rPr>
      <t>.</t>
    </r>
  </si>
  <si>
    <r>
      <t>Takeaway:</t>
    </r>
    <r>
      <rPr>
        <sz val="11"/>
        <color theme="1"/>
        <rFont val="Aptos Narrow"/>
        <family val="2"/>
        <scheme val="minor"/>
      </rPr>
      <t xml:space="preserve"> Most companies in your set are consistently earning between 10% and 20% on their capital, with a few high performers reaching nearly 40%.</t>
    </r>
  </si>
  <si>
    <t>2. LI (Liquidity Index)</t>
  </si>
  <si>
    <r>
      <t>The Outlier Effect:</t>
    </r>
    <r>
      <rPr>
        <sz val="11"/>
        <color theme="1"/>
        <rFont val="Aptos Narrow"/>
        <family val="2"/>
        <scheme val="minor"/>
      </rPr>
      <t xml:space="preserve"> Notice the </t>
    </r>
    <r>
      <rPr>
        <b/>
        <sz val="11"/>
        <color theme="1"/>
        <rFont val="Aptos Narrow"/>
        <family val="2"/>
        <scheme val="minor"/>
      </rPr>
      <t>Mean (1.5)</t>
    </r>
    <r>
      <rPr>
        <sz val="11"/>
        <color theme="1"/>
        <rFont val="Aptos Narrow"/>
        <family val="2"/>
        <scheme val="minor"/>
      </rPr>
      <t xml:space="preserve"> is significantly higher than the </t>
    </r>
    <r>
      <rPr>
        <b/>
        <sz val="11"/>
        <color theme="1"/>
        <rFont val="Aptos Narrow"/>
        <family val="2"/>
        <scheme val="minor"/>
      </rPr>
      <t>Median (0.91)</t>
    </r>
    <r>
      <rPr>
        <sz val="11"/>
        <color theme="1"/>
        <rFont val="Aptos Narrow"/>
        <family val="2"/>
        <scheme val="minor"/>
      </rPr>
      <t xml:space="preserve">. This is a classic sign of </t>
    </r>
    <r>
      <rPr>
        <b/>
        <sz val="11"/>
        <color theme="1"/>
        <rFont val="Aptos Narrow"/>
        <family val="2"/>
        <scheme val="minor"/>
      </rPr>
      <t>Right Skewness</t>
    </r>
    <r>
      <rPr>
        <sz val="11"/>
        <color theme="1"/>
        <rFont val="Aptos Narrow"/>
        <family val="2"/>
        <scheme val="minor"/>
      </rPr>
      <t>.</t>
    </r>
  </si>
  <si>
    <r>
      <t>Concentration: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75% of your data (Q3)</t>
    </r>
    <r>
      <rPr>
        <sz val="11"/>
        <color theme="1"/>
        <rFont val="Aptos Narrow"/>
        <family val="2"/>
        <scheme val="minor"/>
      </rPr>
      <t xml:space="preserve"> is at or below </t>
    </r>
    <r>
      <rPr>
        <b/>
        <sz val="11"/>
        <color theme="1"/>
        <rFont val="Aptos Narrow"/>
        <family val="2"/>
        <scheme val="minor"/>
      </rPr>
      <t>1.08</t>
    </r>
    <r>
      <rPr>
        <sz val="11"/>
        <color theme="1"/>
        <rFont val="Aptos Narrow"/>
        <family val="2"/>
        <scheme val="minor"/>
      </rPr>
      <t xml:space="preserve">, yet the </t>
    </r>
    <r>
      <rPr>
        <b/>
        <sz val="11"/>
        <color theme="1"/>
        <rFont val="Aptos Narrow"/>
        <family val="2"/>
        <scheme val="minor"/>
      </rPr>
      <t>Maximum is 5.68</t>
    </r>
    <r>
      <rPr>
        <sz val="11"/>
        <color theme="1"/>
        <rFont val="Aptos Narrow"/>
        <family val="2"/>
        <scheme val="minor"/>
      </rPr>
      <t>.</t>
    </r>
  </si>
  <si>
    <r>
      <t>Takeaway:</t>
    </r>
    <r>
      <rPr>
        <sz val="11"/>
        <color theme="1"/>
        <rFont val="Aptos Narrow"/>
        <family val="2"/>
        <scheme val="minor"/>
      </rPr>
      <t xml:space="preserve"> Most companies have relatively tight liquidity (around 0.90), but a few "cash-heavy" outliers are pulling the average up artificially.</t>
    </r>
  </si>
  <si>
    <t>3. D/E (Debt/Equity)</t>
  </si>
  <si>
    <r>
      <t>Leverage Levels:</t>
    </r>
    <r>
      <rPr>
        <sz val="11"/>
        <color theme="1"/>
        <rFont val="Aptos Narrow"/>
        <family val="2"/>
        <scheme val="minor"/>
      </rPr>
      <t xml:space="preserve"> Similar to Liquidity, the </t>
    </r>
    <r>
      <rPr>
        <b/>
        <sz val="11"/>
        <color theme="1"/>
        <rFont val="Aptos Narrow"/>
        <family val="2"/>
        <scheme val="minor"/>
      </rPr>
      <t>Mean (0.78)</t>
    </r>
    <r>
      <rPr>
        <sz val="11"/>
        <color theme="1"/>
        <rFont val="Aptos Narrow"/>
        <family val="2"/>
        <scheme val="minor"/>
      </rPr>
      <t xml:space="preserve"> is higher than the </t>
    </r>
    <r>
      <rPr>
        <b/>
        <sz val="11"/>
        <color theme="1"/>
        <rFont val="Aptos Narrow"/>
        <family val="2"/>
        <scheme val="minor"/>
      </rPr>
      <t>Median (0.58)</t>
    </r>
    <r>
      <rPr>
        <sz val="11"/>
        <color theme="1"/>
        <rFont val="Aptos Narrow"/>
        <family val="2"/>
        <scheme val="minor"/>
      </rPr>
      <t>.</t>
    </r>
  </si>
  <si>
    <r>
      <t>Takeaway:</t>
    </r>
    <r>
      <rPr>
        <sz val="11"/>
        <color theme="1"/>
        <rFont val="Aptos Narrow"/>
        <family val="2"/>
        <scheme val="minor"/>
      </rPr>
      <t xml:space="preserve"> The "typical" company has a conservative debt-to-equity ratio of 0.58, but there are aggressive outliers with ratios as high as </t>
    </r>
    <r>
      <rPr>
        <b/>
        <sz val="11"/>
        <color theme="1"/>
        <rFont val="Aptos Narrow"/>
        <family val="2"/>
        <scheme val="minor"/>
      </rPr>
      <t>3.16</t>
    </r>
    <r>
      <rPr>
        <sz val="11"/>
        <color theme="1"/>
        <rFont val="Aptos Narrow"/>
        <family val="2"/>
        <scheme val="minor"/>
      </rPr>
      <t>.</t>
    </r>
  </si>
  <si>
    <t>4. Revenue Growth %</t>
  </si>
  <si>
    <r>
      <t>Extreme Volatility:</t>
    </r>
    <r>
      <rPr>
        <sz val="11"/>
        <color theme="1"/>
        <rFont val="Aptos Narrow"/>
        <family val="2"/>
        <scheme val="minor"/>
      </rPr>
      <t xml:space="preserve"> This variable has a massive </t>
    </r>
    <r>
      <rPr>
        <b/>
        <sz val="11"/>
        <color theme="1"/>
        <rFont val="Aptos Narrow"/>
        <family val="2"/>
        <scheme val="minor"/>
      </rPr>
      <t>Std. Dev of 28.29</t>
    </r>
    <r>
      <rPr>
        <sz val="11"/>
        <color theme="1"/>
        <rFont val="Aptos Narrow"/>
        <family val="2"/>
        <scheme val="minor"/>
      </rPr>
      <t xml:space="preserve">. The range is huge—spanning from a </t>
    </r>
    <r>
      <rPr>
        <b/>
        <sz val="11"/>
        <color theme="1"/>
        <rFont val="Aptos Narrow"/>
        <family val="2"/>
        <scheme val="minor"/>
      </rPr>
      <t>-65.52%</t>
    </r>
    <r>
      <rPr>
        <sz val="11"/>
        <color theme="1"/>
        <rFont val="Aptos Narrow"/>
        <family val="2"/>
        <scheme val="minor"/>
      </rPr>
      <t xml:space="preserve"> collapse to a </t>
    </r>
    <r>
      <rPr>
        <b/>
        <sz val="11"/>
        <color theme="1"/>
        <rFont val="Aptos Narrow"/>
        <family val="2"/>
        <scheme val="minor"/>
      </rPr>
      <t>101.32%</t>
    </r>
    <r>
      <rPr>
        <sz val="11"/>
        <color theme="1"/>
        <rFont val="Aptos Narrow"/>
        <family val="2"/>
        <scheme val="minor"/>
      </rPr>
      <t xml:space="preserve"> doubling of revenue.</t>
    </r>
  </si>
  <si>
    <r>
      <t>Takeaway:</t>
    </r>
    <r>
      <rPr>
        <sz val="11"/>
        <color theme="1"/>
        <rFont val="Aptos Narrow"/>
        <family val="2"/>
        <scheme val="minor"/>
      </rPr>
      <t xml:space="preserve"> This is your most unstable metric. The "middle 50%" of companies (</t>
    </r>
    <r>
      <rPr>
        <b/>
        <sz val="11"/>
        <color theme="1"/>
        <rFont val="Aptos Narrow"/>
        <family val="2"/>
        <scheme val="minor"/>
      </rPr>
      <t>Q1 to Q3</t>
    </r>
    <r>
      <rPr>
        <sz val="11"/>
        <color theme="1"/>
        <rFont val="Aptos Narrow"/>
        <family val="2"/>
        <scheme val="minor"/>
      </rPr>
      <t xml:space="preserve">) grow between </t>
    </r>
    <r>
      <rPr>
        <b/>
        <sz val="11"/>
        <color theme="1"/>
        <rFont val="Aptos Narrow"/>
        <family val="2"/>
        <scheme val="minor"/>
      </rPr>
      <t>-0.64% and 24.97%</t>
    </r>
    <r>
      <rPr>
        <sz val="11"/>
        <color theme="1"/>
        <rFont val="Aptos Narrow"/>
        <family val="2"/>
        <scheme val="minor"/>
      </rPr>
      <t>. Anything outside that range is an extreme case.</t>
    </r>
  </si>
  <si>
    <t>5. Interaction Terms (The Multiplied Columns)</t>
  </si>
  <si>
    <t>These columns show how variables behave when they "hit" each other.</t>
  </si>
  <si>
    <r>
      <t>D/E * Rev Growth %</t>
    </r>
    <r>
      <rPr>
        <sz val="11"/>
        <color theme="1"/>
        <rFont val="Aptos Narrow"/>
        <family val="2"/>
        <scheme val="minor"/>
      </rPr>
      <t xml:space="preserve">: Look at the </t>
    </r>
    <r>
      <rPr>
        <b/>
        <sz val="11"/>
        <color theme="1"/>
        <rFont val="Aptos Narrow"/>
        <family val="2"/>
        <scheme val="minor"/>
      </rPr>
      <t>Median (0.95)</t>
    </r>
    <r>
      <rPr>
        <sz val="11"/>
        <color theme="1"/>
        <rFont val="Aptos Narrow"/>
        <family val="2"/>
        <scheme val="minor"/>
      </rPr>
      <t xml:space="preserve"> vs the </t>
    </r>
    <r>
      <rPr>
        <b/>
        <sz val="11"/>
        <color theme="1"/>
        <rFont val="Aptos Narrow"/>
        <family val="2"/>
        <scheme val="minor"/>
      </rPr>
      <t>Mean (12.84)</t>
    </r>
    <r>
      <rPr>
        <sz val="11"/>
        <color theme="1"/>
        <rFont val="Aptos Narrow"/>
        <family val="2"/>
        <scheme val="minor"/>
      </rPr>
      <t xml:space="preserve">. This tells us that for most companies, the combined effect of debt and growth is low, but for a few companies where both are high, the impact is explosive (up to </t>
    </r>
    <r>
      <rPr>
        <b/>
        <sz val="11"/>
        <color theme="1"/>
        <rFont val="Aptos Narrow"/>
        <family val="2"/>
        <scheme val="minor"/>
      </rPr>
      <t>112.76</t>
    </r>
    <r>
      <rPr>
        <sz val="11"/>
        <color theme="1"/>
        <rFont val="Aptos Narrow"/>
        <family val="2"/>
        <scheme val="minor"/>
      </rPr>
      <t>).</t>
    </r>
  </si>
  <si>
    <r>
      <t>LI * D/E * Rev Growth %</t>
    </r>
    <r>
      <rPr>
        <sz val="11"/>
        <color theme="1"/>
        <rFont val="Aptos Narrow"/>
        <family val="2"/>
        <scheme val="minor"/>
      </rPr>
      <t xml:space="preserve">: The </t>
    </r>
    <r>
      <rPr>
        <b/>
        <sz val="11"/>
        <color theme="1"/>
        <rFont val="Aptos Narrow"/>
        <family val="2"/>
        <scheme val="minor"/>
      </rPr>
      <t>Median of 0.85</t>
    </r>
    <r>
      <rPr>
        <sz val="11"/>
        <color theme="1"/>
        <rFont val="Aptos Narrow"/>
        <family val="2"/>
        <scheme val="minor"/>
      </rPr>
      <t xml:space="preserve"> suggests that the "typical" interaction of these three factors is quite small. However, the </t>
    </r>
    <r>
      <rPr>
        <b/>
        <sz val="11"/>
        <color theme="1"/>
        <rFont val="Aptos Narrow"/>
        <family val="2"/>
        <scheme val="minor"/>
      </rPr>
      <t>Maximum of 98.91</t>
    </r>
    <r>
      <rPr>
        <sz val="11"/>
        <color theme="1"/>
        <rFont val="Aptos Narrow"/>
        <family val="2"/>
        <scheme val="minor"/>
      </rPr>
      <t xml:space="preserve"> shows that there is at least one company where high liquidity, high debt, and high growth are all present simultaneously.</t>
    </r>
  </si>
  <si>
    <t>Batch 4, Statistical Summary</t>
  </si>
  <si>
    <t>Distribution of the variables</t>
  </si>
  <si>
    <t>Distribution of Variables (KDE Grid View)</t>
  </si>
  <si>
    <t>Observations from the Curves:</t>
  </si>
  <si>
    <r>
      <t>1. ROCE%</t>
    </r>
    <r>
      <rPr>
        <sz val="11"/>
        <color theme="1"/>
        <rFont val="Aptos Narrow"/>
        <family val="2"/>
        <scheme val="minor"/>
      </rPr>
      <t>: Shows a relatively normal distribution but with a slight right-skew and a notable tail toward negative values (the -5.82% outlier).</t>
    </r>
  </si>
  <si>
    <r>
      <t>2. LI (Liquidity Index)</t>
    </r>
    <r>
      <rPr>
        <sz val="11"/>
        <color theme="1"/>
        <rFont val="Aptos Narrow"/>
        <family val="2"/>
        <scheme val="minor"/>
      </rPr>
      <t xml:space="preserve">: This is highly </t>
    </r>
    <r>
      <rPr>
        <b/>
        <sz val="11"/>
        <color theme="1"/>
        <rFont val="Aptos Narrow"/>
        <family val="2"/>
        <scheme val="minor"/>
      </rPr>
      <t>right-skewed</t>
    </r>
    <r>
      <rPr>
        <sz val="11"/>
        <color theme="1"/>
        <rFont val="Aptos Narrow"/>
        <family val="2"/>
        <scheme val="minor"/>
      </rPr>
      <t>. The majority of the data is clustered below 1.5, but a long tail stretches out toward 6.0, confirming the high-liquidity outliers we discussed earlier.</t>
    </r>
  </si>
  <si>
    <r>
      <t>3. D/E (Debt/Equity)</t>
    </r>
    <r>
      <rPr>
        <sz val="11"/>
        <color theme="1"/>
        <rFont val="Aptos Narrow"/>
        <family val="2"/>
        <scheme val="minor"/>
      </rPr>
      <t>: Also shows a right-skew, with most companies keeping debt levels low (under 1.0), but a few extreme cases pushing the scale toward 3.0.</t>
    </r>
  </si>
  <si>
    <r>
      <t>4. Revenue Growth %</t>
    </r>
    <r>
      <rPr>
        <sz val="11"/>
        <color theme="1"/>
        <rFont val="Aptos Narrow"/>
        <family val="2"/>
        <scheme val="minor"/>
      </rPr>
      <t>: This has the widest spread. The KDE curve shows a central peak around 10-20%, but the distribution is stretched thin on both sides, indicating high volatility in business performance.</t>
    </r>
  </si>
  <si>
    <r>
      <t>5. Interaction Terms</t>
    </r>
    <r>
      <rPr>
        <sz val="11"/>
        <color theme="1"/>
        <rFont val="Aptos Narrow"/>
        <family val="2"/>
        <scheme val="minor"/>
      </rPr>
      <t xml:space="preserve">: You'll notice that the interaction terms (like </t>
    </r>
    <r>
      <rPr>
        <sz val="10"/>
        <color theme="1"/>
        <rFont val="Arial Unicode MS"/>
      </rPr>
      <t>LI*D/E*Rev Growth %</t>
    </r>
    <r>
      <rPr>
        <sz val="11"/>
        <color theme="1"/>
        <rFont val="Aptos Narrow"/>
        <family val="2"/>
        <scheme val="minor"/>
      </rPr>
      <t>) have very sharp peaks near zero with long tails. This is common when multiplying variables where at least one variable often has a low or zero value (like the companies with 0.00 Debt/Equity).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</si>
</sst>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rgb="FF22222F"/>
      <name val="Aptos"/>
      <family val="2"/>
    </font>
    <font>
      <sz val="11"/>
      <color rgb="FF22222F"/>
      <name val="Arial"/>
      <family val="2"/>
    </font>
    <font>
      <sz val="11"/>
      <color rgb="FF22222F"/>
      <name val="Aptos"/>
      <family val="2"/>
    </font>
    <font>
      <sz val="11"/>
      <color rgb="FF22222F"/>
      <name val="Arial"/>
      <family val="2"/>
    </font>
    <font>
      <u/>
      <sz val="11"/>
      <color theme="10"/>
      <name val="Aptos"/>
      <family val="2"/>
    </font>
    <font>
      <b/>
      <sz val="11"/>
      <color theme="1"/>
      <name val="Aptos Narrow"/>
      <family val="2"/>
      <scheme val="minor"/>
    </font>
    <font>
      <sz val="11"/>
      <color rgb="FF22222F"/>
      <name val="Arial"/>
      <family val="2"/>
    </font>
    <font>
      <sz val="10"/>
      <color theme="1"/>
      <name val="Arial"/>
      <family val="2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7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7" fillId="3" borderId="0" xfId="0" applyFont="1" applyFill="1" applyAlignment="1">
      <alignment horizontal="right" vertical="center" wrapText="1" indent="1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2" fontId="6" fillId="4" borderId="1" xfId="0" applyNumberFormat="1" applyFont="1" applyFill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/>
    </xf>
    <xf numFmtId="2" fontId="6" fillId="3" borderId="1" xfId="0" applyNumberFormat="1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8" fillId="0" borderId="2" xfId="1" applyFont="1" applyBorder="1" applyAlignment="1">
      <alignment horizontal="center" vertical="top"/>
    </xf>
    <xf numFmtId="17" fontId="2" fillId="0" borderId="2" xfId="0" applyNumberFormat="1" applyFont="1" applyBorder="1" applyAlignment="1">
      <alignment horizontal="center" vertical="top"/>
    </xf>
    <xf numFmtId="2" fontId="6" fillId="4" borderId="2" xfId="0" applyNumberFormat="1" applyFont="1" applyFill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2" fontId="6" fillId="3" borderId="2" xfId="0" applyNumberFormat="1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1" xfId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 wrapText="1"/>
    </xf>
    <xf numFmtId="2" fontId="5" fillId="4" borderId="1" xfId="0" applyNumberFormat="1" applyFont="1" applyFill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/>
    </xf>
    <xf numFmtId="2" fontId="5" fillId="3" borderId="1" xfId="0" applyNumberFormat="1" applyFont="1" applyFill="1" applyBorder="1" applyAlignment="1">
      <alignment horizontal="center" vertical="top" wrapText="1"/>
    </xf>
    <xf numFmtId="2" fontId="4" fillId="4" borderId="1" xfId="0" applyNumberFormat="1" applyFont="1" applyFill="1" applyBorder="1" applyAlignment="1">
      <alignment horizontal="center" vertical="top" wrapText="1"/>
    </xf>
    <xf numFmtId="2" fontId="4" fillId="3" borderId="1" xfId="0" applyNumberFormat="1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2" xfId="1" applyBorder="1" applyAlignment="1">
      <alignment horizontal="center" vertical="top"/>
    </xf>
    <xf numFmtId="2" fontId="5" fillId="4" borderId="2" xfId="0" applyNumberFormat="1" applyFont="1" applyFill="1" applyBorder="1" applyAlignment="1">
      <alignment horizontal="center" vertical="top" wrapText="1"/>
    </xf>
    <xf numFmtId="2" fontId="0" fillId="0" borderId="2" xfId="0" applyNumberFormat="1" applyBorder="1" applyAlignment="1">
      <alignment horizontal="center" vertical="top"/>
    </xf>
    <xf numFmtId="2" fontId="2" fillId="0" borderId="3" xfId="0" applyNumberFormat="1" applyFont="1" applyBorder="1" applyAlignment="1">
      <alignment horizontal="center" vertical="top"/>
    </xf>
    <xf numFmtId="2" fontId="5" fillId="3" borderId="2" xfId="0" applyNumberFormat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1" applyBorder="1" applyAlignment="1">
      <alignment horizontal="center" vertical="top"/>
    </xf>
    <xf numFmtId="17" fontId="0" fillId="0" borderId="3" xfId="0" applyNumberFormat="1" applyBorder="1" applyAlignment="1">
      <alignment horizontal="center" vertical="top"/>
    </xf>
    <xf numFmtId="0" fontId="10" fillId="4" borderId="0" xfId="0" applyFont="1" applyFill="1" applyAlignment="1">
      <alignment horizontal="right" vertical="center" wrapText="1" indent="1"/>
    </xf>
    <xf numFmtId="0" fontId="4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0" fillId="0" borderId="8" xfId="0" applyBorder="1"/>
    <xf numFmtId="0" fontId="0" fillId="0" borderId="9" xfId="0" applyBorder="1"/>
    <xf numFmtId="0" fontId="11" fillId="0" borderId="10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1" xfId="0" applyFont="1" applyBorder="1" applyAlignment="1">
      <alignment horizontal="right"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horizontal="right" wrapText="1"/>
    </xf>
    <xf numFmtId="0" fontId="11" fillId="0" borderId="14" xfId="0" applyFont="1" applyBorder="1" applyAlignment="1">
      <alignment horizontal="right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2" fontId="0" fillId="0" borderId="18" xfId="0" applyNumberFormat="1" applyBorder="1" applyAlignment="1">
      <alignment vertical="top"/>
    </xf>
    <xf numFmtId="2" fontId="0" fillId="0" borderId="19" xfId="0" applyNumberFormat="1" applyBorder="1" applyAlignment="1">
      <alignment vertical="top"/>
    </xf>
    <xf numFmtId="2" fontId="0" fillId="0" borderId="20" xfId="0" applyNumberFormat="1" applyBorder="1" applyAlignment="1">
      <alignment vertical="top"/>
    </xf>
    <xf numFmtId="2" fontId="0" fillId="0" borderId="21" xfId="0" applyNumberFormat="1" applyBorder="1" applyAlignment="1">
      <alignment vertical="top"/>
    </xf>
    <xf numFmtId="2" fontId="0" fillId="0" borderId="22" xfId="0" applyNumberFormat="1" applyBorder="1" applyAlignment="1">
      <alignment vertical="top"/>
    </xf>
    <xf numFmtId="0" fontId="12" fillId="0" borderId="5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 vertical="center" indent="1"/>
    </xf>
    <xf numFmtId="0" fontId="12" fillId="0" borderId="8" xfId="0" applyFont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9" fillId="0" borderId="8" xfId="0" applyFont="1" applyBorder="1" applyAlignment="1">
      <alignment horizontal="left" vertical="center" inden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133434</xdr:rowOff>
    </xdr:from>
    <xdr:to>
      <xdr:col>9</xdr:col>
      <xdr:colOff>7620</xdr:colOff>
      <xdr:row>89</xdr:row>
      <xdr:rowOff>104960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94505-65A5-9525-436C-EB7D26DB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87634"/>
          <a:ext cx="5273040" cy="7049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seindia.com/stock-share-price/divgi-torqtransfer-systems-ltd/DIVGIITTS/543812/" TargetMode="External"/><Relationship Id="rId13" Type="http://schemas.openxmlformats.org/officeDocument/2006/relationships/hyperlink" Target="https://www.bseindia.com/stock-share-price/akar-auto-industries-ltd/AAIL/530621/" TargetMode="External"/><Relationship Id="rId18" Type="http://schemas.openxmlformats.org/officeDocument/2006/relationships/hyperlink" Target="https://www.bseindia.com/stock-share-price/sal-automotive-ltd/SALAUTO/539353/" TargetMode="External"/><Relationship Id="rId3" Type="http://schemas.openxmlformats.org/officeDocument/2006/relationships/hyperlink" Target="https://www.bseindia.com/stock-share-price/omax-autos-ltd/OMAXAUTO/520021/" TargetMode="External"/><Relationship Id="rId21" Type="http://schemas.openxmlformats.org/officeDocument/2006/relationships/hyperlink" Target="https://www.bseindia.com/stock-share-price/sal-automotive-ltd/SALAUTO/539353/" TargetMode="External"/><Relationship Id="rId7" Type="http://schemas.openxmlformats.org/officeDocument/2006/relationships/hyperlink" Target="https://www.bseindia.com/stock-share-price/divgi-torqtransfer-systems-ltd/DIVGIITTS/543812/" TargetMode="External"/><Relationship Id="rId12" Type="http://schemas.openxmlformats.org/officeDocument/2006/relationships/hyperlink" Target="https://www.bseindia.com/stock-share-price/akar-auto-industries-ltd/AAIL/530621/" TargetMode="External"/><Relationship Id="rId17" Type="http://schemas.openxmlformats.org/officeDocument/2006/relationships/hyperlink" Target="https://www.bseindia.com/stock-share-price/ip-rings-ltd/IPRINGLTD/523638/" TargetMode="External"/><Relationship Id="rId25" Type="http://schemas.openxmlformats.org/officeDocument/2006/relationships/hyperlink" Target="https://www.bseindia.com/stock-share-price/sundaram-brake-linings-ltd/SUNDRMBRAK/590072/" TargetMode="External"/><Relationship Id="rId2" Type="http://schemas.openxmlformats.org/officeDocument/2006/relationships/hyperlink" Target="https://www.bseindia.com/stock-share-price/omax-autos-ltd/OMAXAUTO/520021/" TargetMode="External"/><Relationship Id="rId16" Type="http://schemas.openxmlformats.org/officeDocument/2006/relationships/hyperlink" Target="https://www.bseindia.com/stock-share-price/ip-rings-ltd/IPRINGLTD/523638/" TargetMode="External"/><Relationship Id="rId20" Type="http://schemas.openxmlformats.org/officeDocument/2006/relationships/hyperlink" Target="https://www.bseindia.com/stock-share-price/sal-automotive-ltd/SALAUTO/539353/" TargetMode="External"/><Relationship Id="rId1" Type="http://schemas.openxmlformats.org/officeDocument/2006/relationships/hyperlink" Target="https://www.bseindia.com/stock-share-price/omax-autos-ltd/OMAXAUTO/520021/" TargetMode="External"/><Relationship Id="rId6" Type="http://schemas.openxmlformats.org/officeDocument/2006/relationships/hyperlink" Target="https://www.bseindia.com/stock-share-price/divgi-torqtransfer-systems-ltd/DIVGIITTS/543812/" TargetMode="External"/><Relationship Id="rId11" Type="http://schemas.openxmlformats.org/officeDocument/2006/relationships/hyperlink" Target="https://www.bseindia.com/stock-share-price/divgi-torqtransfer-systems-ltd/DIVGIITTS/543812/" TargetMode="External"/><Relationship Id="rId24" Type="http://schemas.openxmlformats.org/officeDocument/2006/relationships/hyperlink" Target="https://www.bseindia.com/stock-share-price/sundaram-brake-linings-ltd/SUNDRMBRAK/590072/" TargetMode="External"/><Relationship Id="rId5" Type="http://schemas.openxmlformats.org/officeDocument/2006/relationships/hyperlink" Target="https://www.bseindia.com/stock-share-price/divgi-torqtransfer-systems-ltd/DIVGIITTS/543812/" TargetMode="External"/><Relationship Id="rId15" Type="http://schemas.openxmlformats.org/officeDocument/2006/relationships/hyperlink" Target="https://www.bseindia.com/stock-share-price/ip-rings-ltd/IPRINGLTD/523638/" TargetMode="External"/><Relationship Id="rId23" Type="http://schemas.openxmlformats.org/officeDocument/2006/relationships/hyperlink" Target="https://www.bseindia.com/stock-share-price/sundaram-brake-linings-ltd/SUNDRMBRAK/590072/" TargetMode="External"/><Relationship Id="rId10" Type="http://schemas.openxmlformats.org/officeDocument/2006/relationships/hyperlink" Target="https://www.bseindia.com/stock-share-price/divgi-torqtransfer-systems-ltd/DIVGIITTS/543812/" TargetMode="External"/><Relationship Id="rId19" Type="http://schemas.openxmlformats.org/officeDocument/2006/relationships/hyperlink" Target="https://www.bseindia.com/stock-share-price/sal-automotive-ltd/SALAUTO/539353/" TargetMode="External"/><Relationship Id="rId4" Type="http://schemas.openxmlformats.org/officeDocument/2006/relationships/hyperlink" Target="https://www.bseindia.com/stock-share-price/omax-autos-ltd/OMAXAUTO/520021/" TargetMode="External"/><Relationship Id="rId9" Type="http://schemas.openxmlformats.org/officeDocument/2006/relationships/hyperlink" Target="https://www.bseindia.com/stock-share-price/divgi-torqtransfer-systems-ltd/DIVGIITTS/543812/" TargetMode="External"/><Relationship Id="rId14" Type="http://schemas.openxmlformats.org/officeDocument/2006/relationships/hyperlink" Target="https://www.bseindia.com/stock-share-price/akar-auto-industries-ltd/AAIL/530621/" TargetMode="External"/><Relationship Id="rId22" Type="http://schemas.openxmlformats.org/officeDocument/2006/relationships/hyperlink" Target="https://www.bseindia.com/stock-share-price/sundaram-brake-linings-ltd/SUNDRMBRAK/59007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65A9-38D8-40D3-8B9E-89F239F699D9}">
  <dimension ref="A3:AC70"/>
  <sheetViews>
    <sheetView topLeftCell="A28" workbookViewId="0">
      <selection activeCell="F6" sqref="F6:F35"/>
    </sheetView>
  </sheetViews>
  <sheetFormatPr defaultRowHeight="14.4"/>
  <cols>
    <col min="3" max="3" width="9" customWidth="1"/>
    <col min="5" max="5" width="10.88671875" customWidth="1"/>
    <col min="6" max="6" width="12.21875" bestFit="1" customWidth="1"/>
    <col min="7" max="10" width="9" bestFit="1" customWidth="1"/>
    <col min="11" max="11" width="9.33203125" bestFit="1" customWidth="1"/>
    <col min="12" max="21" width="9" bestFit="1" customWidth="1"/>
    <col min="22" max="22" width="9.33203125" bestFit="1" customWidth="1"/>
    <col min="23" max="28" width="9" bestFit="1" customWidth="1"/>
    <col min="29" max="29" width="9.33203125" bestFit="1" customWidth="1"/>
  </cols>
  <sheetData>
    <row r="3" spans="1:29">
      <c r="C3" s="106" t="s">
        <v>0</v>
      </c>
      <c r="D3" s="106"/>
      <c r="E3" s="106"/>
      <c r="F3" s="106"/>
      <c r="G3" s="106"/>
      <c r="H3" s="106"/>
      <c r="I3" s="106"/>
    </row>
    <row r="5" spans="1:29" ht="57.6">
      <c r="A5" s="1" t="s">
        <v>1</v>
      </c>
      <c r="B5" s="6" t="s">
        <v>2</v>
      </c>
      <c r="C5" s="6" t="s">
        <v>3</v>
      </c>
      <c r="D5" s="7" t="s">
        <v>4</v>
      </c>
      <c r="E5" s="6" t="s">
        <v>5</v>
      </c>
      <c r="F5" s="6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7" t="s">
        <v>27</v>
      </c>
      <c r="AB5" s="2" t="s">
        <v>28</v>
      </c>
      <c r="AC5" s="2" t="s">
        <v>29</v>
      </c>
    </row>
    <row r="6" spans="1:29" ht="43.2">
      <c r="A6" s="4">
        <v>16</v>
      </c>
      <c r="B6" s="8" t="s">
        <v>38</v>
      </c>
      <c r="C6" s="10">
        <v>520021</v>
      </c>
      <c r="D6" s="3">
        <v>45717</v>
      </c>
      <c r="E6" s="11">
        <v>369</v>
      </c>
      <c r="F6" s="12">
        <f>100*(E6-E7)/E7</f>
        <v>3.943661971830986</v>
      </c>
      <c r="G6" s="11">
        <v>11</v>
      </c>
      <c r="H6" s="11">
        <v>4</v>
      </c>
      <c r="I6" s="11">
        <v>61</v>
      </c>
      <c r="J6" s="11">
        <v>5</v>
      </c>
      <c r="K6" s="11">
        <v>91</v>
      </c>
      <c r="L6" s="12">
        <f>SUM(G6:K6)</f>
        <v>172</v>
      </c>
      <c r="M6" s="13">
        <v>30</v>
      </c>
      <c r="N6" s="13">
        <v>6</v>
      </c>
      <c r="O6" s="13">
        <v>56</v>
      </c>
      <c r="P6" s="11">
        <v>27.99</v>
      </c>
      <c r="Q6" s="11">
        <v>6.9</v>
      </c>
      <c r="R6" s="12">
        <f>SUM(M6:Q6)</f>
        <v>126.89</v>
      </c>
      <c r="S6" s="12">
        <f>L6/R6</f>
        <v>1.3555047679092127</v>
      </c>
      <c r="T6" s="12">
        <f>(L6-G6-K6)/R6</f>
        <v>0.55165891717235405</v>
      </c>
      <c r="U6" s="12">
        <f>(S6+T6)/2</f>
        <v>0.95358184254078338</v>
      </c>
      <c r="V6" s="13">
        <v>484</v>
      </c>
      <c r="W6" s="12">
        <f>V6-R6</f>
        <v>357.11</v>
      </c>
      <c r="X6" s="11">
        <v>32</v>
      </c>
      <c r="Y6" s="11">
        <v>23.28</v>
      </c>
      <c r="Z6" s="12">
        <f>X6+Y6</f>
        <v>55.28</v>
      </c>
      <c r="AA6" s="12">
        <f>(Z6/W6)*100</f>
        <v>15.479824143821229</v>
      </c>
      <c r="AB6" s="12">
        <v>0.24552380952380953</v>
      </c>
      <c r="AC6" s="12">
        <f>U6*AB6</f>
        <v>0.23412704667334663</v>
      </c>
    </row>
    <row r="7" spans="1:29" ht="43.2">
      <c r="A7" s="4">
        <v>16</v>
      </c>
      <c r="B7" s="8" t="s">
        <v>38</v>
      </c>
      <c r="C7" s="10">
        <v>520021</v>
      </c>
      <c r="D7" s="3">
        <v>45352</v>
      </c>
      <c r="E7" s="11">
        <v>355</v>
      </c>
      <c r="F7" s="12">
        <f t="shared" ref="F7:F14" si="0">100*(E7-E8)/E8</f>
        <v>17.940199335548172</v>
      </c>
      <c r="G7" s="11">
        <v>15</v>
      </c>
      <c r="H7" s="11">
        <v>3</v>
      </c>
      <c r="I7" s="11">
        <v>81</v>
      </c>
      <c r="J7" s="11">
        <v>0</v>
      </c>
      <c r="K7" s="11">
        <v>110</v>
      </c>
      <c r="L7" s="12">
        <f t="shared" ref="L7:L35" si="1">SUM(G7:K7)</f>
        <v>209</v>
      </c>
      <c r="M7" s="13">
        <v>44</v>
      </c>
      <c r="N7" s="13">
        <v>0</v>
      </c>
      <c r="O7" s="13">
        <v>40</v>
      </c>
      <c r="P7" s="11">
        <v>40.19</v>
      </c>
      <c r="Q7" s="11">
        <v>7.47</v>
      </c>
      <c r="R7" s="12">
        <f t="shared" ref="R7:R35" si="2">SUM(M7:Q7)</f>
        <v>131.66</v>
      </c>
      <c r="S7" s="12">
        <f t="shared" ref="S7:S30" si="3">L7/R7</f>
        <v>1.5874221479568587</v>
      </c>
      <c r="T7" s="12">
        <f t="shared" ref="T7:T30" si="4">(L7-G7-K7)/R7</f>
        <v>0.63800698769557951</v>
      </c>
      <c r="U7" s="12">
        <f t="shared" ref="U7:U30" si="5">(S7+T7)/2</f>
        <v>1.1127145678262191</v>
      </c>
      <c r="V7" s="13">
        <v>500</v>
      </c>
      <c r="W7" s="12">
        <f t="shared" ref="W7:W35" si="6">V7-R7</f>
        <v>368.34000000000003</v>
      </c>
      <c r="X7" s="11">
        <v>25</v>
      </c>
      <c r="Y7" s="11">
        <v>16.37</v>
      </c>
      <c r="Z7" s="12">
        <f t="shared" ref="Z7:Z35" si="7">X7+Y7</f>
        <v>41.370000000000005</v>
      </c>
      <c r="AA7" s="12">
        <f t="shared" ref="AA7:AA35" si="8">(Z7/W7)*100</f>
        <v>11.231470923603194</v>
      </c>
      <c r="AB7" s="12">
        <v>0.39606060606060606</v>
      </c>
      <c r="AC7" s="12">
        <f t="shared" ref="AC7:AC35" si="9">U7*AB7</f>
        <v>0.4407024061057177</v>
      </c>
    </row>
    <row r="8" spans="1:29" ht="43.2">
      <c r="A8" s="4">
        <v>16</v>
      </c>
      <c r="B8" s="8" t="s">
        <v>38</v>
      </c>
      <c r="C8" s="10">
        <v>520021</v>
      </c>
      <c r="D8" s="3">
        <v>44986</v>
      </c>
      <c r="E8" s="11">
        <v>301</v>
      </c>
      <c r="F8" s="12">
        <f t="shared" si="0"/>
        <v>35.585585585585584</v>
      </c>
      <c r="G8" s="11">
        <v>17</v>
      </c>
      <c r="H8" s="11">
        <v>11</v>
      </c>
      <c r="I8" s="11">
        <v>30</v>
      </c>
      <c r="J8" s="11">
        <v>3</v>
      </c>
      <c r="K8" s="11">
        <v>121</v>
      </c>
      <c r="L8" s="12">
        <f t="shared" si="1"/>
        <v>182</v>
      </c>
      <c r="M8" s="13">
        <v>57</v>
      </c>
      <c r="N8" s="13">
        <v>4</v>
      </c>
      <c r="O8" s="13">
        <v>28</v>
      </c>
      <c r="P8" s="11">
        <v>20.43</v>
      </c>
      <c r="Q8" s="11">
        <v>5.72</v>
      </c>
      <c r="R8" s="12">
        <f t="shared" si="2"/>
        <v>115.15</v>
      </c>
      <c r="S8" s="12">
        <f t="shared" si="3"/>
        <v>1.5805471124620061</v>
      </c>
      <c r="T8" s="12">
        <f t="shared" si="4"/>
        <v>0.38211029092488058</v>
      </c>
      <c r="U8" s="12">
        <f t="shared" si="5"/>
        <v>0.98132870169344333</v>
      </c>
      <c r="V8" s="13">
        <v>495</v>
      </c>
      <c r="W8" s="12">
        <f t="shared" si="6"/>
        <v>379.85</v>
      </c>
      <c r="X8" s="11">
        <v>16</v>
      </c>
      <c r="Y8" s="11">
        <v>14.83</v>
      </c>
      <c r="Z8" s="12">
        <f t="shared" si="7"/>
        <v>30.83</v>
      </c>
      <c r="AA8" s="12">
        <f t="shared" si="8"/>
        <v>8.116361721732261</v>
      </c>
      <c r="AB8" s="12">
        <v>0.4170979020979021</v>
      </c>
      <c r="AC8" s="12">
        <f t="shared" si="9"/>
        <v>0.40931014274479322</v>
      </c>
    </row>
    <row r="9" spans="1:29" ht="43.2">
      <c r="A9" s="4">
        <v>16</v>
      </c>
      <c r="B9" s="8" t="s">
        <v>38</v>
      </c>
      <c r="C9" s="10">
        <v>520021</v>
      </c>
      <c r="D9" s="3">
        <v>44621</v>
      </c>
      <c r="E9" s="11">
        <v>222</v>
      </c>
      <c r="F9" s="12">
        <f t="shared" si="0"/>
        <v>37.888198757763973</v>
      </c>
      <c r="G9" s="11">
        <v>28</v>
      </c>
      <c r="H9" s="11">
        <v>19</v>
      </c>
      <c r="I9" s="11">
        <v>38</v>
      </c>
      <c r="J9" s="11">
        <v>3</v>
      </c>
      <c r="K9" s="11">
        <v>143</v>
      </c>
      <c r="L9" s="12">
        <f t="shared" si="1"/>
        <v>231</v>
      </c>
      <c r="M9" s="13">
        <v>47</v>
      </c>
      <c r="N9" s="13">
        <v>14</v>
      </c>
      <c r="O9" s="13">
        <v>42</v>
      </c>
      <c r="P9" s="11">
        <v>46.68</v>
      </c>
      <c r="Q9" s="11">
        <v>6.31</v>
      </c>
      <c r="R9" s="12">
        <f t="shared" si="2"/>
        <v>155.99</v>
      </c>
      <c r="S9" s="12">
        <f t="shared" si="3"/>
        <v>1.4808641579588435</v>
      </c>
      <c r="T9" s="12">
        <f t="shared" si="4"/>
        <v>0.38464004102827104</v>
      </c>
      <c r="U9" s="12">
        <f t="shared" si="5"/>
        <v>0.93275209949355731</v>
      </c>
      <c r="V9" s="13">
        <v>556</v>
      </c>
      <c r="W9" s="12">
        <f t="shared" si="6"/>
        <v>400.01</v>
      </c>
      <c r="X9" s="11">
        <v>-17</v>
      </c>
      <c r="Y9" s="11">
        <v>27.45</v>
      </c>
      <c r="Z9" s="12">
        <f t="shared" si="7"/>
        <v>10.45</v>
      </c>
      <c r="AA9" s="12">
        <f t="shared" si="8"/>
        <v>2.6124346891327717</v>
      </c>
      <c r="AB9" s="12">
        <v>0.46280645161290324</v>
      </c>
      <c r="AC9" s="12">
        <f t="shared" si="9"/>
        <v>0.43168368940109891</v>
      </c>
    </row>
    <row r="10" spans="1:29" ht="43.2">
      <c r="A10" s="4">
        <v>16</v>
      </c>
      <c r="B10" s="14" t="s">
        <v>38</v>
      </c>
      <c r="C10" s="15">
        <v>520021</v>
      </c>
      <c r="D10" s="16">
        <v>44256</v>
      </c>
      <c r="E10" s="17">
        <v>161</v>
      </c>
      <c r="F10" s="18">
        <v>-65.524625267665954</v>
      </c>
      <c r="G10" s="17">
        <v>30</v>
      </c>
      <c r="H10" s="17">
        <v>33</v>
      </c>
      <c r="I10" s="17">
        <v>19</v>
      </c>
      <c r="J10" s="17">
        <v>5</v>
      </c>
      <c r="K10" s="17">
        <v>188</v>
      </c>
      <c r="L10" s="18">
        <f t="shared" si="1"/>
        <v>275</v>
      </c>
      <c r="M10" s="20">
        <v>37</v>
      </c>
      <c r="N10" s="20">
        <v>1</v>
      </c>
      <c r="O10" s="20">
        <v>43</v>
      </c>
      <c r="P10" s="17">
        <v>56.28</v>
      </c>
      <c r="Q10" s="17">
        <v>6.79</v>
      </c>
      <c r="R10" s="18">
        <f t="shared" si="2"/>
        <v>144.07</v>
      </c>
      <c r="S10" s="18">
        <f t="shared" si="3"/>
        <v>1.9087943360866246</v>
      </c>
      <c r="T10" s="18">
        <f t="shared" si="4"/>
        <v>0.3956410078434095</v>
      </c>
      <c r="U10" s="18">
        <f t="shared" si="5"/>
        <v>1.152217671965017</v>
      </c>
      <c r="V10" s="20">
        <v>593</v>
      </c>
      <c r="W10" s="18">
        <f t="shared" si="6"/>
        <v>448.93</v>
      </c>
      <c r="X10" s="17">
        <v>-42</v>
      </c>
      <c r="Y10" s="17">
        <v>15.86</v>
      </c>
      <c r="Z10" s="18">
        <f t="shared" si="7"/>
        <v>-26.14</v>
      </c>
      <c r="AA10" s="12">
        <f t="shared" si="8"/>
        <v>-5.8227340565344257</v>
      </c>
      <c r="AB10" s="12">
        <v>0.78769230769230758</v>
      </c>
      <c r="AC10" s="12">
        <f t="shared" si="9"/>
        <v>0.90759299699398255</v>
      </c>
    </row>
    <row r="11" spans="1:29" ht="72">
      <c r="A11" s="4">
        <v>17</v>
      </c>
      <c r="B11" s="8" t="s">
        <v>39</v>
      </c>
      <c r="C11" s="10">
        <v>543812</v>
      </c>
      <c r="D11" s="3">
        <v>45717</v>
      </c>
      <c r="E11" s="11">
        <v>219</v>
      </c>
      <c r="F11" s="12">
        <f t="shared" si="0"/>
        <v>-13.438735177865613</v>
      </c>
      <c r="G11" s="11">
        <v>42</v>
      </c>
      <c r="H11" s="11">
        <v>55</v>
      </c>
      <c r="I11" s="11">
        <v>285</v>
      </c>
      <c r="J11" s="11">
        <v>2</v>
      </c>
      <c r="K11" s="11">
        <v>23</v>
      </c>
      <c r="L11" s="12">
        <f t="shared" si="1"/>
        <v>407</v>
      </c>
      <c r="M11" s="13">
        <v>40</v>
      </c>
      <c r="N11" s="13">
        <v>0</v>
      </c>
      <c r="O11" s="13">
        <v>25</v>
      </c>
      <c r="P11" s="11">
        <v>0.09</v>
      </c>
      <c r="Q11" s="11">
        <v>0.84</v>
      </c>
      <c r="R11" s="12">
        <f t="shared" si="2"/>
        <v>65.930000000000007</v>
      </c>
      <c r="S11" s="12">
        <f t="shared" si="3"/>
        <v>6.1732140148642491</v>
      </c>
      <c r="T11" s="12">
        <f t="shared" si="4"/>
        <v>5.1873198847262243</v>
      </c>
      <c r="U11" s="12">
        <f t="shared" si="5"/>
        <v>5.6802669497952367</v>
      </c>
      <c r="V11" s="13">
        <v>664</v>
      </c>
      <c r="W11" s="12">
        <f t="shared" si="6"/>
        <v>598.06999999999994</v>
      </c>
      <c r="X11" s="11">
        <v>38</v>
      </c>
      <c r="Y11" s="11">
        <v>21.18</v>
      </c>
      <c r="Z11" s="12">
        <f t="shared" si="7"/>
        <v>59.18</v>
      </c>
      <c r="AA11" s="12">
        <f t="shared" si="8"/>
        <v>9.8951627735883765</v>
      </c>
      <c r="AB11" s="27">
        <v>1.795302013422819E-3</v>
      </c>
      <c r="AC11" s="12">
        <f t="shared" si="9"/>
        <v>1.0197794691746483E-2</v>
      </c>
    </row>
    <row r="12" spans="1:29" ht="72">
      <c r="A12" s="4">
        <v>17</v>
      </c>
      <c r="B12" s="8" t="s">
        <v>39</v>
      </c>
      <c r="C12" s="10">
        <v>543812</v>
      </c>
      <c r="D12" s="3">
        <v>45352</v>
      </c>
      <c r="E12" s="11">
        <v>253</v>
      </c>
      <c r="F12" s="12">
        <f t="shared" si="0"/>
        <v>-6.6420664206642064</v>
      </c>
      <c r="G12" s="11">
        <v>39</v>
      </c>
      <c r="H12" s="11">
        <v>63</v>
      </c>
      <c r="I12" s="11">
        <v>264</v>
      </c>
      <c r="J12" s="11">
        <v>1</v>
      </c>
      <c r="K12" s="11">
        <v>24</v>
      </c>
      <c r="L12" s="12">
        <f t="shared" si="1"/>
        <v>391</v>
      </c>
      <c r="M12" s="13">
        <v>38</v>
      </c>
      <c r="N12" s="13">
        <v>1</v>
      </c>
      <c r="O12" s="13">
        <v>24</v>
      </c>
      <c r="P12" s="11">
        <v>0.08</v>
      </c>
      <c r="Q12" s="11">
        <v>1.21</v>
      </c>
      <c r="R12" s="12">
        <f t="shared" si="2"/>
        <v>64.289999999999992</v>
      </c>
      <c r="S12" s="12">
        <f t="shared" si="3"/>
        <v>6.0818167677710386</v>
      </c>
      <c r="T12" s="12">
        <f t="shared" si="4"/>
        <v>5.1018820967491063</v>
      </c>
      <c r="U12" s="12">
        <f t="shared" si="5"/>
        <v>5.5918494322600729</v>
      </c>
      <c r="V12" s="13">
        <v>644</v>
      </c>
      <c r="W12" s="12">
        <f t="shared" si="6"/>
        <v>579.71</v>
      </c>
      <c r="X12" s="11">
        <v>53</v>
      </c>
      <c r="Y12" s="11">
        <v>19.5</v>
      </c>
      <c r="Z12" s="12">
        <f t="shared" si="7"/>
        <v>72.5</v>
      </c>
      <c r="AA12" s="12">
        <f>(Z12/W12)*100</f>
        <v>12.50625312656328</v>
      </c>
      <c r="AB12" s="27">
        <v>2.706896551724138E-3</v>
      </c>
      <c r="AC12" s="12">
        <f t="shared" si="9"/>
        <v>1.5136557945945371E-2</v>
      </c>
    </row>
    <row r="13" spans="1:29" ht="72">
      <c r="A13" s="4">
        <v>17</v>
      </c>
      <c r="B13" s="8" t="s">
        <v>39</v>
      </c>
      <c r="C13" s="10">
        <v>543812</v>
      </c>
      <c r="D13" s="3">
        <v>44986</v>
      </c>
      <c r="E13" s="11">
        <v>271</v>
      </c>
      <c r="F13" s="12">
        <f t="shared" si="0"/>
        <v>15.811965811965813</v>
      </c>
      <c r="G13" s="11">
        <v>36</v>
      </c>
      <c r="H13" s="11">
        <v>73</v>
      </c>
      <c r="I13" s="11">
        <v>311</v>
      </c>
      <c r="J13" s="11">
        <v>1</v>
      </c>
      <c r="K13" s="11">
        <v>15</v>
      </c>
      <c r="L13" s="12">
        <f t="shared" si="1"/>
        <v>436</v>
      </c>
      <c r="M13" s="13">
        <v>46</v>
      </c>
      <c r="N13" s="13">
        <v>0</v>
      </c>
      <c r="O13" s="13">
        <v>46</v>
      </c>
      <c r="P13" s="11">
        <v>0.11</v>
      </c>
      <c r="Q13" s="11">
        <v>2.11</v>
      </c>
      <c r="R13" s="12">
        <f t="shared" si="2"/>
        <v>94.22</v>
      </c>
      <c r="S13" s="12">
        <f t="shared" si="3"/>
        <v>4.6274676289535135</v>
      </c>
      <c r="T13" s="12">
        <f t="shared" si="4"/>
        <v>4.0861812778603266</v>
      </c>
      <c r="U13" s="12">
        <f t="shared" si="5"/>
        <v>4.3568244534069205</v>
      </c>
      <c r="V13" s="13">
        <v>646</v>
      </c>
      <c r="W13" s="12">
        <f t="shared" si="6"/>
        <v>551.78</v>
      </c>
      <c r="X13" s="11">
        <v>75</v>
      </c>
      <c r="Y13" s="11">
        <v>7.62</v>
      </c>
      <c r="Z13" s="12">
        <f t="shared" si="7"/>
        <v>82.62</v>
      </c>
      <c r="AA13" s="12">
        <f t="shared" si="8"/>
        <v>14.973358947406576</v>
      </c>
      <c r="AB13" s="27">
        <v>4.6098003629764066E-3</v>
      </c>
      <c r="AC13" s="12">
        <f t="shared" si="9"/>
        <v>2.0084090946739706E-2</v>
      </c>
    </row>
    <row r="14" spans="1:29" ht="72">
      <c r="A14" s="4">
        <v>17</v>
      </c>
      <c r="B14" s="8" t="s">
        <v>39</v>
      </c>
      <c r="C14" s="10">
        <v>543812</v>
      </c>
      <c r="D14" s="3">
        <v>44621</v>
      </c>
      <c r="E14" s="11">
        <v>234</v>
      </c>
      <c r="F14" s="12">
        <f t="shared" si="0"/>
        <v>25.133689839572192</v>
      </c>
      <c r="G14" s="11">
        <v>33</v>
      </c>
      <c r="H14" s="11">
        <v>53</v>
      </c>
      <c r="I14" s="11">
        <v>173</v>
      </c>
      <c r="J14" s="11">
        <v>1</v>
      </c>
      <c r="K14" s="11">
        <v>9</v>
      </c>
      <c r="L14" s="12">
        <f t="shared" si="1"/>
        <v>269</v>
      </c>
      <c r="M14" s="13">
        <v>40</v>
      </c>
      <c r="N14" s="13">
        <v>1</v>
      </c>
      <c r="O14" s="13">
        <v>27</v>
      </c>
      <c r="P14" s="11">
        <v>0.09</v>
      </c>
      <c r="Q14" s="11">
        <v>0.35</v>
      </c>
      <c r="R14" s="12">
        <f t="shared" si="2"/>
        <v>68.44</v>
      </c>
      <c r="S14" s="12">
        <f t="shared" si="3"/>
        <v>3.9304500292226767</v>
      </c>
      <c r="T14" s="12">
        <f t="shared" si="4"/>
        <v>3.3167738164815899</v>
      </c>
      <c r="U14" s="12">
        <f t="shared" si="5"/>
        <v>3.6236119228521333</v>
      </c>
      <c r="V14" s="13">
        <v>408</v>
      </c>
      <c r="W14" s="12">
        <f t="shared" si="6"/>
        <v>339.56</v>
      </c>
      <c r="X14" s="11">
        <v>66</v>
      </c>
      <c r="Y14" s="11">
        <v>8.1</v>
      </c>
      <c r="Z14" s="12">
        <f t="shared" si="7"/>
        <v>74.099999999999994</v>
      </c>
      <c r="AA14" s="12">
        <f t="shared" si="8"/>
        <v>21.822358346094944</v>
      </c>
      <c r="AB14" s="27">
        <v>1.4117647058823528E-3</v>
      </c>
      <c r="AC14" s="12">
        <f t="shared" si="9"/>
        <v>5.1156874204971291E-3</v>
      </c>
    </row>
    <row r="15" spans="1:29" ht="72">
      <c r="A15" s="4">
        <v>17</v>
      </c>
      <c r="B15" s="14" t="s">
        <v>39</v>
      </c>
      <c r="C15" s="15">
        <v>543812</v>
      </c>
      <c r="D15" s="16">
        <v>44256</v>
      </c>
      <c r="E15" s="17">
        <v>187</v>
      </c>
      <c r="F15" s="18">
        <v>17.610062893081761</v>
      </c>
      <c r="G15" s="17">
        <v>30</v>
      </c>
      <c r="H15" s="17">
        <v>55</v>
      </c>
      <c r="I15" s="17">
        <v>159</v>
      </c>
      <c r="J15" s="17">
        <v>0</v>
      </c>
      <c r="K15" s="17">
        <v>11</v>
      </c>
      <c r="L15" s="18">
        <f t="shared" si="1"/>
        <v>255</v>
      </c>
      <c r="M15" s="20">
        <v>40</v>
      </c>
      <c r="N15" s="20">
        <v>0</v>
      </c>
      <c r="O15" s="20">
        <v>29</v>
      </c>
      <c r="P15" s="17">
        <v>0.12</v>
      </c>
      <c r="Q15" s="17">
        <v>0.87</v>
      </c>
      <c r="R15" s="18">
        <f t="shared" si="2"/>
        <v>69.990000000000009</v>
      </c>
      <c r="S15" s="18">
        <f t="shared" si="3"/>
        <v>3.6433776253750532</v>
      </c>
      <c r="T15" s="18">
        <f t="shared" si="4"/>
        <v>3.0575796542363189</v>
      </c>
      <c r="U15" s="18">
        <f t="shared" si="5"/>
        <v>3.3504786398056861</v>
      </c>
      <c r="V15" s="20">
        <v>366</v>
      </c>
      <c r="W15" s="18">
        <f t="shared" si="6"/>
        <v>296.01</v>
      </c>
      <c r="X15" s="17">
        <v>52</v>
      </c>
      <c r="Y15" s="17">
        <v>8.42</v>
      </c>
      <c r="Z15" s="18">
        <f t="shared" si="7"/>
        <v>60.42</v>
      </c>
      <c r="AA15" s="18">
        <f t="shared" si="8"/>
        <v>20.411472585385628</v>
      </c>
      <c r="AB15" s="27">
        <v>3.7837837837837842E-3</v>
      </c>
      <c r="AC15" s="12">
        <f t="shared" si="9"/>
        <v>1.2677486745210706E-2</v>
      </c>
    </row>
    <row r="16" spans="1:29" ht="57.6">
      <c r="A16" s="4">
        <v>18</v>
      </c>
      <c r="B16" s="19" t="s">
        <v>40</v>
      </c>
      <c r="C16" s="24">
        <v>530621</v>
      </c>
      <c r="D16" s="3">
        <v>45717</v>
      </c>
      <c r="E16" s="26">
        <v>374</v>
      </c>
      <c r="F16" s="12">
        <f>100*(E16-E17)/E17</f>
        <v>0.26809651474530832</v>
      </c>
      <c r="G16" s="26">
        <v>94</v>
      </c>
      <c r="H16" s="26">
        <v>60</v>
      </c>
      <c r="I16" s="26">
        <v>4</v>
      </c>
      <c r="J16" s="26">
        <v>5</v>
      </c>
      <c r="K16" s="26">
        <v>13</v>
      </c>
      <c r="L16" s="12">
        <f t="shared" si="1"/>
        <v>176</v>
      </c>
      <c r="M16" s="28">
        <v>81</v>
      </c>
      <c r="N16" s="28">
        <v>1</v>
      </c>
      <c r="O16" s="28">
        <v>24</v>
      </c>
      <c r="P16" s="26">
        <v>60</v>
      </c>
      <c r="Q16" s="28">
        <v>0</v>
      </c>
      <c r="R16" s="12">
        <f t="shared" si="2"/>
        <v>166</v>
      </c>
      <c r="S16" s="12">
        <f t="shared" si="3"/>
        <v>1.0602409638554218</v>
      </c>
      <c r="T16" s="12">
        <f t="shared" si="4"/>
        <v>0.41566265060240964</v>
      </c>
      <c r="U16" s="12">
        <f t="shared" si="5"/>
        <v>0.73795180722891573</v>
      </c>
      <c r="V16" s="28">
        <v>235</v>
      </c>
      <c r="W16" s="12">
        <f t="shared" si="6"/>
        <v>69</v>
      </c>
      <c r="X16" s="26">
        <v>27</v>
      </c>
      <c r="Y16" s="26">
        <v>0.28999999999999998</v>
      </c>
      <c r="Z16" s="12">
        <f t="shared" si="7"/>
        <v>27.29</v>
      </c>
      <c r="AA16" s="12">
        <f>(Z16/W16)*100</f>
        <v>39.550724637681157</v>
      </c>
      <c r="AB16" s="27">
        <v>1.58</v>
      </c>
      <c r="AC16" s="12">
        <f t="shared" si="9"/>
        <v>1.1659638554216869</v>
      </c>
    </row>
    <row r="17" spans="1:29" ht="57.6">
      <c r="A17" s="4">
        <v>18</v>
      </c>
      <c r="B17" s="19" t="s">
        <v>40</v>
      </c>
      <c r="C17" s="24">
        <v>530621</v>
      </c>
      <c r="D17" s="3">
        <v>45352</v>
      </c>
      <c r="E17" s="26">
        <v>373</v>
      </c>
      <c r="F17" s="12">
        <f t="shared" ref="F17:F34" si="10">100*(E17-E18)/E18</f>
        <v>1.9125683060109289</v>
      </c>
      <c r="G17" s="26">
        <v>89</v>
      </c>
      <c r="H17" s="26">
        <v>55</v>
      </c>
      <c r="I17" s="26">
        <v>3</v>
      </c>
      <c r="J17" s="26">
        <v>3</v>
      </c>
      <c r="K17" s="26">
        <v>10</v>
      </c>
      <c r="L17" s="12">
        <f t="shared" si="1"/>
        <v>160</v>
      </c>
      <c r="M17" s="28">
        <v>70</v>
      </c>
      <c r="N17" s="28">
        <v>0</v>
      </c>
      <c r="O17" s="28">
        <v>19</v>
      </c>
      <c r="P17" s="26">
        <v>51</v>
      </c>
      <c r="Q17" s="28">
        <v>0</v>
      </c>
      <c r="R17" s="12">
        <f t="shared" si="2"/>
        <v>140</v>
      </c>
      <c r="S17" s="12">
        <f t="shared" si="3"/>
        <v>1.1428571428571428</v>
      </c>
      <c r="T17" s="12">
        <f t="shared" si="4"/>
        <v>0.43571428571428572</v>
      </c>
      <c r="U17" s="12">
        <f t="shared" si="5"/>
        <v>0.78928571428571426</v>
      </c>
      <c r="V17" s="28">
        <v>216</v>
      </c>
      <c r="W17" s="12">
        <f t="shared" si="6"/>
        <v>76</v>
      </c>
      <c r="X17" s="26">
        <v>24</v>
      </c>
      <c r="Y17" s="26">
        <v>0.24</v>
      </c>
      <c r="Z17" s="12">
        <f t="shared" si="7"/>
        <v>24.24</v>
      </c>
      <c r="AA17" s="12">
        <f t="shared" si="8"/>
        <v>31.89473684210526</v>
      </c>
      <c r="AB17" s="27">
        <v>1.8863636363636365</v>
      </c>
      <c r="AC17" s="12">
        <f t="shared" si="9"/>
        <v>1.4888798701298702</v>
      </c>
    </row>
    <row r="18" spans="1:29" ht="57.6">
      <c r="A18" s="4">
        <v>18</v>
      </c>
      <c r="B18" s="19" t="s">
        <v>40</v>
      </c>
      <c r="C18" s="24">
        <v>530621</v>
      </c>
      <c r="D18" s="3">
        <v>44986</v>
      </c>
      <c r="E18" s="26">
        <v>366</v>
      </c>
      <c r="F18" s="12">
        <f t="shared" si="10"/>
        <v>36.059479553903344</v>
      </c>
      <c r="G18" s="26">
        <v>79</v>
      </c>
      <c r="H18" s="26">
        <v>49</v>
      </c>
      <c r="I18" s="26">
        <v>4</v>
      </c>
      <c r="J18" s="26">
        <v>3</v>
      </c>
      <c r="K18" s="26">
        <v>11</v>
      </c>
      <c r="L18" s="12">
        <f t="shared" si="1"/>
        <v>146</v>
      </c>
      <c r="M18" s="28">
        <v>64</v>
      </c>
      <c r="N18" s="28">
        <v>0</v>
      </c>
      <c r="O18" s="28">
        <v>18</v>
      </c>
      <c r="P18" s="26">
        <v>39</v>
      </c>
      <c r="Q18" s="28">
        <v>0</v>
      </c>
      <c r="R18" s="12">
        <f t="shared" si="2"/>
        <v>121</v>
      </c>
      <c r="S18" s="12">
        <f t="shared" si="3"/>
        <v>1.2066115702479339</v>
      </c>
      <c r="T18" s="12">
        <f t="shared" si="4"/>
        <v>0.46280991735537191</v>
      </c>
      <c r="U18" s="12">
        <f t="shared" si="5"/>
        <v>0.83471074380165289</v>
      </c>
      <c r="V18" s="28">
        <v>187</v>
      </c>
      <c r="W18" s="12">
        <f t="shared" si="6"/>
        <v>66</v>
      </c>
      <c r="X18" s="26">
        <v>22</v>
      </c>
      <c r="Y18" s="26">
        <v>0.18</v>
      </c>
      <c r="Z18" s="12">
        <f t="shared" si="7"/>
        <v>22.18</v>
      </c>
      <c r="AA18" s="12">
        <f t="shared" si="8"/>
        <v>33.606060606060609</v>
      </c>
      <c r="AB18" s="27">
        <v>1.641025641025641</v>
      </c>
      <c r="AC18" s="12">
        <f t="shared" si="9"/>
        <v>1.3697817334180971</v>
      </c>
    </row>
    <row r="19" spans="1:29" ht="57.6">
      <c r="A19" s="4">
        <v>18</v>
      </c>
      <c r="B19" s="19" t="s">
        <v>40</v>
      </c>
      <c r="C19" s="24">
        <v>530621</v>
      </c>
      <c r="D19" s="3">
        <v>44621</v>
      </c>
      <c r="E19" s="26">
        <v>269</v>
      </c>
      <c r="F19" s="12">
        <f t="shared" si="10"/>
        <v>43.850267379679146</v>
      </c>
      <c r="G19" s="26">
        <v>75</v>
      </c>
      <c r="H19" s="26">
        <v>35</v>
      </c>
      <c r="I19" s="26">
        <v>3</v>
      </c>
      <c r="J19" s="26">
        <v>2</v>
      </c>
      <c r="K19" s="26">
        <v>5</v>
      </c>
      <c r="L19" s="12">
        <f t="shared" si="1"/>
        <v>120</v>
      </c>
      <c r="M19" s="28">
        <v>42</v>
      </c>
      <c r="N19" s="28">
        <v>0</v>
      </c>
      <c r="O19" s="28">
        <v>13</v>
      </c>
      <c r="P19" s="26">
        <v>40</v>
      </c>
      <c r="Q19" s="28">
        <v>0</v>
      </c>
      <c r="R19" s="12">
        <f t="shared" si="2"/>
        <v>95</v>
      </c>
      <c r="S19" s="12">
        <f t="shared" si="3"/>
        <v>1.263157894736842</v>
      </c>
      <c r="T19" s="12">
        <f t="shared" si="4"/>
        <v>0.42105263157894735</v>
      </c>
      <c r="U19" s="12">
        <f t="shared" si="5"/>
        <v>0.84210526315789469</v>
      </c>
      <c r="V19" s="28">
        <v>159</v>
      </c>
      <c r="W19" s="12">
        <f t="shared" si="6"/>
        <v>64</v>
      </c>
      <c r="X19" s="26">
        <v>19</v>
      </c>
      <c r="Y19" s="26">
        <v>0.79</v>
      </c>
      <c r="Z19" s="12">
        <f t="shared" si="7"/>
        <v>19.79</v>
      </c>
      <c r="AA19" s="12">
        <f t="shared" si="8"/>
        <v>30.921875</v>
      </c>
      <c r="AB19" s="27">
        <v>2.21875</v>
      </c>
      <c r="AC19" s="12">
        <f t="shared" si="9"/>
        <v>1.8684210526315788</v>
      </c>
    </row>
    <row r="20" spans="1:29" ht="57.6">
      <c r="A20" s="4">
        <v>18</v>
      </c>
      <c r="B20" s="31" t="s">
        <v>40</v>
      </c>
      <c r="C20" s="32">
        <v>530621</v>
      </c>
      <c r="D20" s="16">
        <v>44256</v>
      </c>
      <c r="E20" s="33">
        <v>187</v>
      </c>
      <c r="F20" s="34">
        <v>-5.5555555555555554</v>
      </c>
      <c r="G20" s="33">
        <v>69</v>
      </c>
      <c r="H20" s="33">
        <v>40</v>
      </c>
      <c r="I20" s="33">
        <v>2</v>
      </c>
      <c r="J20" s="33">
        <v>2</v>
      </c>
      <c r="K20" s="33">
        <v>5</v>
      </c>
      <c r="L20" s="18">
        <f t="shared" si="1"/>
        <v>118</v>
      </c>
      <c r="M20" s="36">
        <v>39</v>
      </c>
      <c r="N20" s="36">
        <v>0</v>
      </c>
      <c r="O20" s="36">
        <v>16</v>
      </c>
      <c r="P20" s="33">
        <v>44</v>
      </c>
      <c r="Q20" s="36">
        <v>0</v>
      </c>
      <c r="R20" s="18">
        <f t="shared" si="2"/>
        <v>99</v>
      </c>
      <c r="S20" s="18">
        <f t="shared" si="3"/>
        <v>1.1919191919191918</v>
      </c>
      <c r="T20" s="18">
        <f t="shared" si="4"/>
        <v>0.44444444444444442</v>
      </c>
      <c r="U20" s="18">
        <f t="shared" si="5"/>
        <v>0.81818181818181812</v>
      </c>
      <c r="V20" s="36">
        <v>159</v>
      </c>
      <c r="W20" s="18">
        <f t="shared" si="6"/>
        <v>60</v>
      </c>
      <c r="X20" s="33">
        <v>9</v>
      </c>
      <c r="Y20" s="33">
        <v>1.76</v>
      </c>
      <c r="Z20" s="18">
        <f t="shared" si="7"/>
        <v>10.76</v>
      </c>
      <c r="AA20" s="18">
        <f t="shared" si="8"/>
        <v>17.93333333333333</v>
      </c>
      <c r="AB20" s="34">
        <v>3.16</v>
      </c>
      <c r="AC20" s="18">
        <f t="shared" si="9"/>
        <v>2.5854545454545454</v>
      </c>
    </row>
    <row r="21" spans="1:29" ht="28.8">
      <c r="A21" s="9">
        <v>19</v>
      </c>
      <c r="B21" s="19" t="s">
        <v>41</v>
      </c>
      <c r="C21" s="24">
        <v>523638</v>
      </c>
      <c r="D21" s="3">
        <v>45717</v>
      </c>
      <c r="E21" s="26">
        <v>303</v>
      </c>
      <c r="F21" s="12">
        <f t="shared" si="10"/>
        <v>-4.4164037854889591</v>
      </c>
      <c r="G21" s="26">
        <v>53</v>
      </c>
      <c r="H21" s="26">
        <v>67</v>
      </c>
      <c r="I21" s="26">
        <v>1</v>
      </c>
      <c r="J21" s="26">
        <v>4</v>
      </c>
      <c r="K21" s="26">
        <v>21</v>
      </c>
      <c r="L21" s="12">
        <f t="shared" si="1"/>
        <v>146</v>
      </c>
      <c r="M21" s="28">
        <v>84</v>
      </c>
      <c r="N21" s="27">
        <v>0</v>
      </c>
      <c r="O21" s="28">
        <v>12</v>
      </c>
      <c r="P21" s="26">
        <v>56</v>
      </c>
      <c r="Q21" s="26">
        <v>5</v>
      </c>
      <c r="R21" s="12">
        <f t="shared" si="2"/>
        <v>157</v>
      </c>
      <c r="S21" s="12">
        <f t="shared" si="3"/>
        <v>0.92993630573248409</v>
      </c>
      <c r="T21" s="12">
        <f t="shared" si="4"/>
        <v>0.45859872611464969</v>
      </c>
      <c r="U21" s="12">
        <f t="shared" si="5"/>
        <v>0.69426751592356695</v>
      </c>
      <c r="V21" s="28">
        <v>303</v>
      </c>
      <c r="W21" s="12">
        <f t="shared" si="6"/>
        <v>146</v>
      </c>
      <c r="X21" s="26">
        <v>22</v>
      </c>
      <c r="Y21" s="26">
        <v>2.67</v>
      </c>
      <c r="Z21" s="12">
        <f t="shared" si="7"/>
        <v>24.67</v>
      </c>
      <c r="AA21" s="12">
        <f t="shared" si="8"/>
        <v>16.897260273972602</v>
      </c>
      <c r="AB21" s="27">
        <v>1.0097087378640777</v>
      </c>
      <c r="AC21" s="12">
        <f t="shared" si="9"/>
        <v>0.70100797724321318</v>
      </c>
    </row>
    <row r="22" spans="1:29" ht="28.8">
      <c r="A22" s="9">
        <v>19</v>
      </c>
      <c r="B22" s="19" t="s">
        <v>41</v>
      </c>
      <c r="C22" s="24">
        <v>523638</v>
      </c>
      <c r="D22" s="3">
        <v>45352</v>
      </c>
      <c r="E22" s="26">
        <v>317</v>
      </c>
      <c r="F22" s="12">
        <f t="shared" si="10"/>
        <v>-1.8575851393188854</v>
      </c>
      <c r="G22" s="26">
        <v>59</v>
      </c>
      <c r="H22" s="26">
        <v>77</v>
      </c>
      <c r="I22" s="26">
        <v>6</v>
      </c>
      <c r="J22" s="26">
        <v>4</v>
      </c>
      <c r="K22" s="26">
        <v>12</v>
      </c>
      <c r="L22" s="12">
        <f t="shared" si="1"/>
        <v>158</v>
      </c>
      <c r="M22" s="28">
        <v>98</v>
      </c>
      <c r="N22" s="27">
        <v>0</v>
      </c>
      <c r="O22" s="28">
        <v>16</v>
      </c>
      <c r="P22" s="26">
        <v>49</v>
      </c>
      <c r="Q22" s="26">
        <v>4</v>
      </c>
      <c r="R22" s="12">
        <f t="shared" si="2"/>
        <v>167</v>
      </c>
      <c r="S22" s="12">
        <f t="shared" si="3"/>
        <v>0.94610778443113774</v>
      </c>
      <c r="T22" s="12">
        <f t="shared" si="4"/>
        <v>0.52095808383233533</v>
      </c>
      <c r="U22" s="12">
        <f t="shared" si="5"/>
        <v>0.73353293413173648</v>
      </c>
      <c r="V22" s="28">
        <v>308</v>
      </c>
      <c r="W22" s="12">
        <f t="shared" si="6"/>
        <v>141</v>
      </c>
      <c r="X22" s="26">
        <v>23</v>
      </c>
      <c r="Y22" s="26">
        <v>2.54</v>
      </c>
      <c r="Z22" s="12">
        <f t="shared" si="7"/>
        <v>25.54</v>
      </c>
      <c r="AA22" s="12">
        <f t="shared" si="8"/>
        <v>18.113475177304963</v>
      </c>
      <c r="AB22" s="27">
        <v>0.81308411214953269</v>
      </c>
      <c r="AC22" s="12">
        <f t="shared" si="9"/>
        <v>0.59642397448094464</v>
      </c>
    </row>
    <row r="23" spans="1:29" ht="28.8">
      <c r="A23" s="9">
        <v>19</v>
      </c>
      <c r="B23" s="19" t="s">
        <v>41</v>
      </c>
      <c r="C23" s="24">
        <v>523638</v>
      </c>
      <c r="D23" s="3">
        <v>44986</v>
      </c>
      <c r="E23" s="26">
        <v>323</v>
      </c>
      <c r="F23" s="12">
        <f t="shared" si="10"/>
        <v>18.315018315018314</v>
      </c>
      <c r="G23" s="26">
        <v>60</v>
      </c>
      <c r="H23" s="26">
        <v>76</v>
      </c>
      <c r="I23" s="26">
        <v>6</v>
      </c>
      <c r="J23" s="26">
        <v>4</v>
      </c>
      <c r="K23" s="26">
        <v>13</v>
      </c>
      <c r="L23" s="12">
        <f t="shared" si="1"/>
        <v>159</v>
      </c>
      <c r="M23" s="28">
        <v>90</v>
      </c>
      <c r="N23" s="27">
        <v>0</v>
      </c>
      <c r="O23" s="28">
        <v>13</v>
      </c>
      <c r="P23" s="26">
        <v>55</v>
      </c>
      <c r="Q23" s="26">
        <v>5</v>
      </c>
      <c r="R23" s="12">
        <f t="shared" si="2"/>
        <v>163</v>
      </c>
      <c r="S23" s="12">
        <f t="shared" si="3"/>
        <v>0.97546012269938653</v>
      </c>
      <c r="T23" s="12">
        <f t="shared" si="4"/>
        <v>0.52760736196319014</v>
      </c>
      <c r="U23" s="12">
        <f t="shared" si="5"/>
        <v>0.75153374233128833</v>
      </c>
      <c r="V23" s="28">
        <v>316</v>
      </c>
      <c r="W23" s="12">
        <f t="shared" si="6"/>
        <v>153</v>
      </c>
      <c r="X23" s="26">
        <v>26</v>
      </c>
      <c r="Y23" s="26">
        <v>3.34</v>
      </c>
      <c r="Z23" s="12">
        <f t="shared" si="7"/>
        <v>29.34</v>
      </c>
      <c r="AA23" s="12">
        <f t="shared" si="8"/>
        <v>19.176470588235293</v>
      </c>
      <c r="AB23" s="27">
        <v>0.90990990990990994</v>
      </c>
      <c r="AC23" s="12">
        <f t="shared" si="9"/>
        <v>0.68382799977892006</v>
      </c>
    </row>
    <row r="24" spans="1:29" ht="28.8">
      <c r="A24" s="9">
        <v>19</v>
      </c>
      <c r="B24" s="19" t="s">
        <v>41</v>
      </c>
      <c r="C24" s="24">
        <v>523638</v>
      </c>
      <c r="D24" s="3">
        <v>44621</v>
      </c>
      <c r="E24" s="26">
        <v>273</v>
      </c>
      <c r="F24" s="12">
        <f t="shared" si="10"/>
        <v>37.878787878787875</v>
      </c>
      <c r="G24" s="26">
        <v>53</v>
      </c>
      <c r="H24" s="26">
        <v>67</v>
      </c>
      <c r="I24" s="26">
        <v>3</v>
      </c>
      <c r="J24" s="26">
        <v>4</v>
      </c>
      <c r="K24" s="26">
        <v>14</v>
      </c>
      <c r="L24" s="12">
        <f t="shared" si="1"/>
        <v>141</v>
      </c>
      <c r="M24" s="28">
        <v>63</v>
      </c>
      <c r="N24" s="27">
        <v>0</v>
      </c>
      <c r="O24" s="28">
        <v>12</v>
      </c>
      <c r="P24" s="26">
        <v>58</v>
      </c>
      <c r="Q24" s="26">
        <v>5</v>
      </c>
      <c r="R24" s="12">
        <f t="shared" si="2"/>
        <v>138</v>
      </c>
      <c r="S24" s="12">
        <f t="shared" si="3"/>
        <v>1.0217391304347827</v>
      </c>
      <c r="T24" s="12">
        <f t="shared" si="4"/>
        <v>0.53623188405797106</v>
      </c>
      <c r="U24" s="12">
        <f t="shared" si="5"/>
        <v>0.77898550724637694</v>
      </c>
      <c r="V24" s="28">
        <v>301</v>
      </c>
      <c r="W24" s="12">
        <f t="shared" si="6"/>
        <v>163</v>
      </c>
      <c r="X24" s="26">
        <v>33</v>
      </c>
      <c r="Y24" s="26">
        <v>2.29</v>
      </c>
      <c r="Z24" s="12">
        <f t="shared" si="7"/>
        <v>35.29</v>
      </c>
      <c r="AA24" s="12">
        <f t="shared" si="8"/>
        <v>21.650306748466257</v>
      </c>
      <c r="AB24" s="27">
        <v>1.0089285714285714</v>
      </c>
      <c r="AC24" s="12">
        <f t="shared" si="9"/>
        <v>0.78594073498964812</v>
      </c>
    </row>
    <row r="25" spans="1:29" ht="28.8">
      <c r="A25" s="9">
        <v>19</v>
      </c>
      <c r="B25" s="31" t="s">
        <v>41</v>
      </c>
      <c r="C25" s="32">
        <v>523638</v>
      </c>
      <c r="D25" s="16">
        <v>44256</v>
      </c>
      <c r="E25" s="33">
        <v>198</v>
      </c>
      <c r="F25" s="34">
        <v>0</v>
      </c>
      <c r="G25" s="33">
        <v>47</v>
      </c>
      <c r="H25" s="33">
        <v>56</v>
      </c>
      <c r="I25" s="33">
        <v>7</v>
      </c>
      <c r="J25" s="33">
        <v>1</v>
      </c>
      <c r="K25" s="33">
        <v>15</v>
      </c>
      <c r="L25" s="18">
        <f t="shared" si="1"/>
        <v>126</v>
      </c>
      <c r="M25" s="36">
        <v>53</v>
      </c>
      <c r="N25" s="34">
        <v>0</v>
      </c>
      <c r="O25" s="36">
        <v>15</v>
      </c>
      <c r="P25" s="33">
        <v>54</v>
      </c>
      <c r="Q25" s="33">
        <v>6</v>
      </c>
      <c r="R25" s="18">
        <f t="shared" si="2"/>
        <v>128</v>
      </c>
      <c r="S25" s="18">
        <f t="shared" si="3"/>
        <v>0.984375</v>
      </c>
      <c r="T25" s="18">
        <f t="shared" si="4"/>
        <v>0.5</v>
      </c>
      <c r="U25" s="18">
        <f t="shared" si="5"/>
        <v>0.7421875</v>
      </c>
      <c r="V25" s="36">
        <v>273</v>
      </c>
      <c r="W25" s="18">
        <f t="shared" si="6"/>
        <v>145</v>
      </c>
      <c r="X25" s="33">
        <v>25</v>
      </c>
      <c r="Y25" s="33">
        <v>0.98</v>
      </c>
      <c r="Z25" s="18">
        <f t="shared" si="7"/>
        <v>25.98</v>
      </c>
      <c r="AA25" s="18">
        <f t="shared" si="8"/>
        <v>17.917241379310344</v>
      </c>
      <c r="AB25" s="34">
        <v>0.93396226415094341</v>
      </c>
      <c r="AC25" s="18">
        <f t="shared" si="9"/>
        <v>0.69317511792452835</v>
      </c>
    </row>
    <row r="26" spans="1:29" ht="43.2">
      <c r="A26" s="4">
        <v>20</v>
      </c>
      <c r="B26" s="19" t="s">
        <v>42</v>
      </c>
      <c r="C26" s="24">
        <v>539353</v>
      </c>
      <c r="D26" s="3">
        <v>45717</v>
      </c>
      <c r="E26" s="25">
        <v>378</v>
      </c>
      <c r="F26" s="12">
        <f t="shared" si="10"/>
        <v>22.727272727272727</v>
      </c>
      <c r="G26" s="26">
        <v>23</v>
      </c>
      <c r="H26" s="26">
        <v>44</v>
      </c>
      <c r="I26" s="26">
        <v>2</v>
      </c>
      <c r="J26" s="26">
        <v>2</v>
      </c>
      <c r="K26" s="26">
        <v>15</v>
      </c>
      <c r="L26" s="12">
        <f t="shared" si="1"/>
        <v>86</v>
      </c>
      <c r="M26" s="28">
        <v>50</v>
      </c>
      <c r="N26" s="28">
        <v>1</v>
      </c>
      <c r="O26" s="28">
        <v>5</v>
      </c>
      <c r="P26" s="26">
        <v>16.850000000000001</v>
      </c>
      <c r="Q26" s="26">
        <v>1.66</v>
      </c>
      <c r="R26" s="12">
        <f t="shared" si="2"/>
        <v>74.509999999999991</v>
      </c>
      <c r="S26" s="12">
        <f t="shared" si="3"/>
        <v>1.1542074889276608</v>
      </c>
      <c r="T26" s="12">
        <f t="shared" si="4"/>
        <v>0.64420883102939208</v>
      </c>
      <c r="U26" s="12">
        <f t="shared" si="5"/>
        <v>0.89920815997852643</v>
      </c>
      <c r="V26" s="28">
        <v>123</v>
      </c>
      <c r="W26" s="12">
        <f t="shared" si="6"/>
        <v>48.490000000000009</v>
      </c>
      <c r="X26" s="26">
        <v>13</v>
      </c>
      <c r="Y26" s="26">
        <v>1.73</v>
      </c>
      <c r="Z26" s="12">
        <f t="shared" si="7"/>
        <v>14.73</v>
      </c>
      <c r="AA26" s="12">
        <f t="shared" si="8"/>
        <v>30.377397401526085</v>
      </c>
      <c r="AB26" s="27">
        <v>0.5504651162790698</v>
      </c>
      <c r="AC26" s="12">
        <f t="shared" si="9"/>
        <v>0.49498272434166796</v>
      </c>
    </row>
    <row r="27" spans="1:29" ht="43.2">
      <c r="A27" s="4">
        <v>20</v>
      </c>
      <c r="B27" s="19" t="s">
        <v>42</v>
      </c>
      <c r="C27" s="24">
        <v>539353</v>
      </c>
      <c r="D27" s="3">
        <v>45352</v>
      </c>
      <c r="E27" s="25">
        <v>308</v>
      </c>
      <c r="F27" s="12">
        <f t="shared" si="10"/>
        <v>1.3157894736842106</v>
      </c>
      <c r="G27" s="26">
        <v>22</v>
      </c>
      <c r="H27" s="26">
        <v>37</v>
      </c>
      <c r="I27" s="26">
        <v>5</v>
      </c>
      <c r="J27" s="26">
        <v>3</v>
      </c>
      <c r="K27" s="26">
        <v>12</v>
      </c>
      <c r="L27" s="12">
        <f t="shared" si="1"/>
        <v>79</v>
      </c>
      <c r="M27" s="28">
        <v>41</v>
      </c>
      <c r="N27" s="28">
        <v>1</v>
      </c>
      <c r="O27" s="28">
        <v>5</v>
      </c>
      <c r="P27" s="26">
        <v>24.36</v>
      </c>
      <c r="Q27" s="26">
        <v>2.34</v>
      </c>
      <c r="R27" s="12">
        <f t="shared" si="2"/>
        <v>73.7</v>
      </c>
      <c r="S27" s="12">
        <f t="shared" si="3"/>
        <v>1.0719131614654003</v>
      </c>
      <c r="T27" s="12">
        <f t="shared" si="4"/>
        <v>0.61058344640434192</v>
      </c>
      <c r="U27" s="12">
        <f t="shared" si="5"/>
        <v>0.84124830393487104</v>
      </c>
      <c r="V27" s="28">
        <v>112</v>
      </c>
      <c r="W27" s="12">
        <f t="shared" si="6"/>
        <v>38.299999999999997</v>
      </c>
      <c r="X27" s="26">
        <v>13</v>
      </c>
      <c r="Y27" s="26">
        <v>0.96</v>
      </c>
      <c r="Z27" s="12">
        <f t="shared" si="7"/>
        <v>13.96</v>
      </c>
      <c r="AA27" s="12">
        <f t="shared" si="8"/>
        <v>36.449086161879904</v>
      </c>
      <c r="AB27" s="27">
        <v>0.70657894736842097</v>
      </c>
      <c r="AC27" s="12">
        <f t="shared" si="9"/>
        <v>0.5944083410697707</v>
      </c>
    </row>
    <row r="28" spans="1:29" ht="43.2">
      <c r="A28" s="4">
        <v>20</v>
      </c>
      <c r="B28" s="19" t="s">
        <v>42</v>
      </c>
      <c r="C28" s="24">
        <v>539353</v>
      </c>
      <c r="D28" s="3">
        <v>44986</v>
      </c>
      <c r="E28" s="25">
        <v>304</v>
      </c>
      <c r="F28" s="12">
        <f t="shared" si="10"/>
        <v>101.32450331125828</v>
      </c>
      <c r="G28" s="26">
        <v>24</v>
      </c>
      <c r="H28" s="26">
        <v>37</v>
      </c>
      <c r="I28" s="26">
        <v>14</v>
      </c>
      <c r="J28" s="26">
        <v>3</v>
      </c>
      <c r="K28" s="26">
        <v>19</v>
      </c>
      <c r="L28" s="12">
        <f t="shared" si="1"/>
        <v>97</v>
      </c>
      <c r="M28" s="28">
        <v>50</v>
      </c>
      <c r="N28" s="28">
        <v>1</v>
      </c>
      <c r="O28" s="28">
        <v>5</v>
      </c>
      <c r="P28" s="26">
        <v>27.12</v>
      </c>
      <c r="Q28" s="26">
        <v>2.95</v>
      </c>
      <c r="R28" s="12">
        <f t="shared" si="2"/>
        <v>86.070000000000007</v>
      </c>
      <c r="S28" s="12">
        <f t="shared" si="3"/>
        <v>1.126989659579412</v>
      </c>
      <c r="T28" s="12">
        <f t="shared" si="4"/>
        <v>0.6273963053328685</v>
      </c>
      <c r="U28" s="12">
        <f t="shared" si="5"/>
        <v>0.87719298245614019</v>
      </c>
      <c r="V28" s="28">
        <v>130</v>
      </c>
      <c r="W28" s="12">
        <f t="shared" si="6"/>
        <v>43.929999999999993</v>
      </c>
      <c r="X28" s="26">
        <v>10</v>
      </c>
      <c r="Y28" s="26">
        <v>1.53</v>
      </c>
      <c r="Z28" s="12">
        <f t="shared" si="7"/>
        <v>11.53</v>
      </c>
      <c r="AA28" s="12">
        <f t="shared" si="8"/>
        <v>26.246300933302987</v>
      </c>
      <c r="AB28" s="27">
        <v>1.112857142857143</v>
      </c>
      <c r="AC28" s="12">
        <f t="shared" si="9"/>
        <v>0.97619047619047616</v>
      </c>
    </row>
    <row r="29" spans="1:29" ht="43.2">
      <c r="A29" s="4">
        <v>20</v>
      </c>
      <c r="B29" s="19" t="s">
        <v>42</v>
      </c>
      <c r="C29" s="24">
        <v>539353</v>
      </c>
      <c r="D29" s="3">
        <v>44621</v>
      </c>
      <c r="E29" s="25">
        <v>151</v>
      </c>
      <c r="F29" s="12">
        <f t="shared" si="10"/>
        <v>58.94736842105263</v>
      </c>
      <c r="G29" s="26">
        <v>15</v>
      </c>
      <c r="H29" s="26">
        <v>35</v>
      </c>
      <c r="I29" s="26">
        <v>1</v>
      </c>
      <c r="J29" s="26">
        <v>3</v>
      </c>
      <c r="K29" s="26">
        <v>29</v>
      </c>
      <c r="L29" s="12">
        <f t="shared" si="1"/>
        <v>83</v>
      </c>
      <c r="M29" s="28">
        <v>40</v>
      </c>
      <c r="N29" s="28">
        <v>2</v>
      </c>
      <c r="O29" s="28">
        <v>5</v>
      </c>
      <c r="P29" s="26">
        <v>25.03</v>
      </c>
      <c r="Q29" s="26">
        <v>0.7</v>
      </c>
      <c r="R29" s="12">
        <f t="shared" si="2"/>
        <v>72.73</v>
      </c>
      <c r="S29" s="12">
        <f t="shared" si="3"/>
        <v>1.1412072047298225</v>
      </c>
      <c r="T29" s="12">
        <f t="shared" si="4"/>
        <v>0.53622989137907329</v>
      </c>
      <c r="U29" s="12">
        <f t="shared" si="5"/>
        <v>0.8387185480544479</v>
      </c>
      <c r="V29" s="28">
        <v>105</v>
      </c>
      <c r="W29" s="12">
        <f t="shared" si="6"/>
        <v>32.269999999999996</v>
      </c>
      <c r="X29" s="26">
        <v>-1</v>
      </c>
      <c r="Y29" s="26">
        <v>1.54</v>
      </c>
      <c r="Z29" s="12">
        <f t="shared" si="7"/>
        <v>0.54</v>
      </c>
      <c r="AA29" s="12">
        <f t="shared" si="8"/>
        <v>1.6733808490858384</v>
      </c>
      <c r="AB29" s="27">
        <v>0.92833333333333334</v>
      </c>
      <c r="AC29" s="12">
        <f t="shared" si="9"/>
        <v>0.77861038544387917</v>
      </c>
    </row>
    <row r="30" spans="1:29" ht="43.2">
      <c r="A30" s="4">
        <v>20</v>
      </c>
      <c r="B30" s="31" t="s">
        <v>42</v>
      </c>
      <c r="C30" s="32">
        <v>539353</v>
      </c>
      <c r="D30" s="16">
        <v>44256</v>
      </c>
      <c r="E30" s="37">
        <v>95</v>
      </c>
      <c r="F30" s="34">
        <v>11.764705882352942</v>
      </c>
      <c r="G30" s="33">
        <v>9</v>
      </c>
      <c r="H30" s="33">
        <v>28</v>
      </c>
      <c r="I30" s="33">
        <v>8</v>
      </c>
      <c r="J30" s="33">
        <v>2</v>
      </c>
      <c r="K30" s="33">
        <v>21</v>
      </c>
      <c r="L30" s="18">
        <f t="shared" si="1"/>
        <v>68</v>
      </c>
      <c r="M30" s="36">
        <v>28</v>
      </c>
      <c r="N30" s="36">
        <v>1</v>
      </c>
      <c r="O30" s="36">
        <v>5</v>
      </c>
      <c r="P30" s="33">
        <v>6.4</v>
      </c>
      <c r="Q30" s="33">
        <v>0.86</v>
      </c>
      <c r="R30" s="18">
        <f t="shared" si="2"/>
        <v>41.26</v>
      </c>
      <c r="S30" s="18">
        <f t="shared" si="3"/>
        <v>1.6480853126514785</v>
      </c>
      <c r="T30" s="18">
        <f t="shared" si="4"/>
        <v>0.92098885118759088</v>
      </c>
      <c r="U30" s="18">
        <f t="shared" si="5"/>
        <v>1.2845370819195348</v>
      </c>
      <c r="V30" s="36">
        <v>78</v>
      </c>
      <c r="W30" s="18">
        <f t="shared" si="6"/>
        <v>36.74</v>
      </c>
      <c r="X30" s="33">
        <v>2</v>
      </c>
      <c r="Y30" s="33">
        <v>1.4</v>
      </c>
      <c r="Z30" s="18">
        <f t="shared" si="7"/>
        <v>3.4</v>
      </c>
      <c r="AA30" s="18">
        <f t="shared" si="8"/>
        <v>9.2542188350571575</v>
      </c>
      <c r="AB30" s="34">
        <v>0.29303030303030303</v>
      </c>
      <c r="AC30" s="18">
        <f t="shared" si="9"/>
        <v>0.37640829036854245</v>
      </c>
    </row>
    <row r="31" spans="1:29" ht="57.6">
      <c r="A31" s="4">
        <v>21</v>
      </c>
      <c r="B31" s="19" t="s">
        <v>43</v>
      </c>
      <c r="C31" s="24">
        <v>590072</v>
      </c>
      <c r="D31" s="3">
        <v>45717</v>
      </c>
      <c r="E31" s="26">
        <v>352</v>
      </c>
      <c r="F31" s="12">
        <f t="shared" si="10"/>
        <v>0</v>
      </c>
      <c r="G31" s="26">
        <v>50</v>
      </c>
      <c r="H31" s="26">
        <v>79</v>
      </c>
      <c r="I31" s="26">
        <v>0</v>
      </c>
      <c r="J31" s="26">
        <v>3</v>
      </c>
      <c r="K31" s="26">
        <v>23</v>
      </c>
      <c r="L31" s="12">
        <f t="shared" si="1"/>
        <v>155</v>
      </c>
      <c r="M31" s="28">
        <v>46.85</v>
      </c>
      <c r="N31" s="28">
        <v>0.13</v>
      </c>
      <c r="O31" s="28">
        <v>22.56</v>
      </c>
      <c r="P31" s="26">
        <v>51.74</v>
      </c>
      <c r="Q31" s="28">
        <v>0</v>
      </c>
      <c r="R31" s="12">
        <f t="shared" si="2"/>
        <v>121.28</v>
      </c>
      <c r="S31" s="12">
        <f t="shared" ref="S31:S35" si="11">L31/R31</f>
        <v>1.2780343007915567</v>
      </c>
      <c r="T31" s="12">
        <f t="shared" ref="T31:T35" si="12">(L31-G31-K31)/R31</f>
        <v>0.67612137203166223</v>
      </c>
      <c r="U31" s="12">
        <f t="shared" ref="U31:U35" si="13">(S31+T31)/2</f>
        <v>0.9770778364116095</v>
      </c>
      <c r="V31" s="28">
        <v>225</v>
      </c>
      <c r="W31" s="12">
        <f t="shared" si="6"/>
        <v>103.72</v>
      </c>
      <c r="X31" s="26">
        <v>15</v>
      </c>
      <c r="Y31" s="26">
        <v>2.81</v>
      </c>
      <c r="Z31" s="12">
        <f t="shared" si="7"/>
        <v>17.809999999999999</v>
      </c>
      <c r="AA31" s="12">
        <f t="shared" si="8"/>
        <v>17.171230235248746</v>
      </c>
      <c r="AB31" s="27">
        <v>0.56282828282828279</v>
      </c>
      <c r="AC31" s="12">
        <f t="shared" si="9"/>
        <v>0.54992704085711996</v>
      </c>
    </row>
    <row r="32" spans="1:29" ht="57.6">
      <c r="A32" s="4">
        <v>21</v>
      </c>
      <c r="B32" s="19" t="s">
        <v>43</v>
      </c>
      <c r="C32" s="24">
        <v>590072</v>
      </c>
      <c r="D32" s="3">
        <v>45352</v>
      </c>
      <c r="E32" s="26">
        <v>352</v>
      </c>
      <c r="F32" s="12">
        <f t="shared" si="10"/>
        <v>-0.84507042253521125</v>
      </c>
      <c r="G32" s="26">
        <v>45</v>
      </c>
      <c r="H32" s="26">
        <v>69</v>
      </c>
      <c r="I32" s="26">
        <v>0</v>
      </c>
      <c r="J32" s="26">
        <v>4</v>
      </c>
      <c r="K32" s="26">
        <v>19</v>
      </c>
      <c r="L32" s="12">
        <f t="shared" si="1"/>
        <v>137</v>
      </c>
      <c r="M32" s="28">
        <v>44.2</v>
      </c>
      <c r="N32" s="28">
        <v>0.45</v>
      </c>
      <c r="O32" s="28">
        <v>22.38</v>
      </c>
      <c r="P32" s="26">
        <v>39.24</v>
      </c>
      <c r="Q32" s="28">
        <v>0</v>
      </c>
      <c r="R32" s="12">
        <f t="shared" si="2"/>
        <v>106.27000000000001</v>
      </c>
      <c r="S32" s="12">
        <f t="shared" si="11"/>
        <v>1.2891690975816317</v>
      </c>
      <c r="T32" s="12">
        <f t="shared" si="12"/>
        <v>0.68692951914933653</v>
      </c>
      <c r="U32" s="12">
        <f t="shared" si="13"/>
        <v>0.9880493083654841</v>
      </c>
      <c r="V32" s="28">
        <v>206</v>
      </c>
      <c r="W32" s="12">
        <f t="shared" si="6"/>
        <v>99.72999999999999</v>
      </c>
      <c r="X32" s="26">
        <v>19</v>
      </c>
      <c r="Y32" s="26">
        <v>3.27</v>
      </c>
      <c r="Z32" s="12">
        <f t="shared" si="7"/>
        <v>22.27</v>
      </c>
      <c r="AA32" s="12">
        <f t="shared" si="8"/>
        <v>22.330291787827136</v>
      </c>
      <c r="AB32" s="27">
        <v>0.46557894736842109</v>
      </c>
      <c r="AC32" s="12">
        <f t="shared" si="9"/>
        <v>0.46001495693689859</v>
      </c>
    </row>
    <row r="33" spans="1:29" ht="57.6">
      <c r="A33" s="4">
        <v>21</v>
      </c>
      <c r="B33" s="19" t="s">
        <v>43</v>
      </c>
      <c r="C33" s="24">
        <v>590072</v>
      </c>
      <c r="D33" s="3">
        <v>44986</v>
      </c>
      <c r="E33" s="26">
        <v>355</v>
      </c>
      <c r="F33" s="12">
        <f t="shared" si="10"/>
        <v>20.338983050847457</v>
      </c>
      <c r="G33" s="26">
        <v>56</v>
      </c>
      <c r="H33" s="26">
        <v>69</v>
      </c>
      <c r="I33" s="26">
        <v>0</v>
      </c>
      <c r="J33" s="26">
        <v>2</v>
      </c>
      <c r="K33" s="26">
        <v>10</v>
      </c>
      <c r="L33" s="12">
        <f t="shared" si="1"/>
        <v>137</v>
      </c>
      <c r="M33" s="28">
        <v>47.5</v>
      </c>
      <c r="N33" s="28">
        <v>0.45</v>
      </c>
      <c r="O33" s="28">
        <v>22.73</v>
      </c>
      <c r="P33" s="26">
        <v>45.04</v>
      </c>
      <c r="Q33" s="28">
        <v>0</v>
      </c>
      <c r="R33" s="12">
        <f t="shared" si="2"/>
        <v>115.72</v>
      </c>
      <c r="S33" s="12">
        <f t="shared" si="11"/>
        <v>1.1838921534739026</v>
      </c>
      <c r="T33" s="12">
        <f t="shared" si="12"/>
        <v>0.61354994815070862</v>
      </c>
      <c r="U33" s="12">
        <f t="shared" si="13"/>
        <v>0.89872105081230558</v>
      </c>
      <c r="V33" s="28">
        <v>206</v>
      </c>
      <c r="W33" s="12">
        <f t="shared" si="6"/>
        <v>90.28</v>
      </c>
      <c r="X33" s="26">
        <v>3</v>
      </c>
      <c r="Y33" s="26">
        <v>2.77</v>
      </c>
      <c r="Z33" s="12">
        <f t="shared" si="7"/>
        <v>5.77</v>
      </c>
      <c r="AA33" s="12">
        <f t="shared" si="8"/>
        <v>6.3912272928666374</v>
      </c>
      <c r="AB33" s="27">
        <v>0.58799999999999997</v>
      </c>
      <c r="AC33" s="12">
        <f t="shared" si="9"/>
        <v>0.52844797787763564</v>
      </c>
    </row>
    <row r="34" spans="1:29" ht="57.6">
      <c r="A34" s="4">
        <v>21</v>
      </c>
      <c r="B34" s="19" t="s">
        <v>43</v>
      </c>
      <c r="C34" s="24">
        <v>590072</v>
      </c>
      <c r="D34" s="3">
        <v>44621</v>
      </c>
      <c r="E34" s="26">
        <v>295</v>
      </c>
      <c r="F34" s="12">
        <f t="shared" si="10"/>
        <v>24.472573839662449</v>
      </c>
      <c r="G34" s="26">
        <v>48</v>
      </c>
      <c r="H34" s="26">
        <v>64</v>
      </c>
      <c r="I34" s="26">
        <v>0</v>
      </c>
      <c r="J34" s="26">
        <v>3</v>
      </c>
      <c r="K34" s="26">
        <v>11</v>
      </c>
      <c r="L34" s="12">
        <f t="shared" si="1"/>
        <v>126</v>
      </c>
      <c r="M34" s="28">
        <v>42.26</v>
      </c>
      <c r="N34" s="28">
        <v>0.2</v>
      </c>
      <c r="O34" s="28">
        <v>22.38</v>
      </c>
      <c r="P34" s="26">
        <v>41.64</v>
      </c>
      <c r="Q34" s="28">
        <v>0</v>
      </c>
      <c r="R34" s="12">
        <f t="shared" si="2"/>
        <v>106.48</v>
      </c>
      <c r="S34" s="12">
        <f t="shared" si="11"/>
        <v>1.1833208114199849</v>
      </c>
      <c r="T34" s="12">
        <f t="shared" si="12"/>
        <v>0.6292261457550713</v>
      </c>
      <c r="U34" s="12">
        <f t="shared" si="13"/>
        <v>0.90627347858752816</v>
      </c>
      <c r="V34" s="28">
        <v>197</v>
      </c>
      <c r="W34" s="12">
        <f t="shared" si="6"/>
        <v>90.52</v>
      </c>
      <c r="X34" s="26">
        <v>3</v>
      </c>
      <c r="Y34" s="26">
        <v>3.19</v>
      </c>
      <c r="Z34" s="12">
        <f t="shared" si="7"/>
        <v>6.1899999999999995</v>
      </c>
      <c r="AA34" s="12">
        <f t="shared" si="8"/>
        <v>6.8382677861246135</v>
      </c>
      <c r="AB34" s="27">
        <v>0.45758241758241758</v>
      </c>
      <c r="AC34" s="12">
        <f t="shared" si="9"/>
        <v>0.41469480932290848</v>
      </c>
    </row>
    <row r="35" spans="1:29" ht="57.6">
      <c r="A35" s="4">
        <v>21</v>
      </c>
      <c r="B35" s="19" t="s">
        <v>43</v>
      </c>
      <c r="C35" s="24">
        <v>590072</v>
      </c>
      <c r="D35" s="3">
        <v>44256</v>
      </c>
      <c r="E35" s="26">
        <v>237</v>
      </c>
      <c r="F35" s="27">
        <v>-8.1395348837209305</v>
      </c>
      <c r="G35" s="26">
        <v>34</v>
      </c>
      <c r="H35" s="26">
        <v>65</v>
      </c>
      <c r="I35" s="26">
        <v>0</v>
      </c>
      <c r="J35" s="26">
        <v>2</v>
      </c>
      <c r="K35" s="26">
        <v>10</v>
      </c>
      <c r="L35" s="12">
        <f t="shared" si="1"/>
        <v>111</v>
      </c>
      <c r="M35" s="28">
        <v>35.270000000000003</v>
      </c>
      <c r="N35" s="28">
        <v>0.55000000000000004</v>
      </c>
      <c r="O35" s="28">
        <v>26.2</v>
      </c>
      <c r="P35" s="26">
        <v>28.54</v>
      </c>
      <c r="Q35" s="28">
        <v>0</v>
      </c>
      <c r="R35" s="12">
        <f t="shared" si="2"/>
        <v>90.56</v>
      </c>
      <c r="S35" s="12">
        <f t="shared" si="11"/>
        <v>1.2257067137809188</v>
      </c>
      <c r="T35" s="12">
        <f t="shared" si="12"/>
        <v>0.73984098939929321</v>
      </c>
      <c r="U35" s="12">
        <f t="shared" si="13"/>
        <v>0.982773851590106</v>
      </c>
      <c r="V35" s="28">
        <v>182</v>
      </c>
      <c r="W35" s="12">
        <f t="shared" si="6"/>
        <v>91.44</v>
      </c>
      <c r="X35" s="26">
        <v>8</v>
      </c>
      <c r="Y35" s="26">
        <v>1.28</v>
      </c>
      <c r="Z35" s="12">
        <f t="shared" si="7"/>
        <v>9.2799999999999994</v>
      </c>
      <c r="AA35" s="12">
        <f t="shared" si="8"/>
        <v>10.148731408573926</v>
      </c>
      <c r="AB35" s="27">
        <v>0.33077777777777778</v>
      </c>
      <c r="AC35" s="12">
        <f t="shared" si="9"/>
        <v>0.32507975068708284</v>
      </c>
    </row>
    <row r="36" spans="1:29">
      <c r="A36" s="4"/>
      <c r="B36" s="38"/>
      <c r="C36" s="39"/>
      <c r="D36" s="40"/>
      <c r="E36" s="41"/>
      <c r="F36" s="35"/>
      <c r="AC36" s="35"/>
    </row>
    <row r="37" spans="1:29">
      <c r="A37" s="4"/>
      <c r="AC37" s="12"/>
    </row>
    <row r="38" spans="1:29">
      <c r="B38" s="107" t="s">
        <v>30</v>
      </c>
      <c r="C38" s="107"/>
      <c r="D38" s="107"/>
      <c r="E38" s="107"/>
      <c r="F38" s="107"/>
      <c r="G38" s="107"/>
      <c r="H38" s="107"/>
      <c r="I38" s="107"/>
      <c r="AC38" s="12"/>
    </row>
    <row r="39" spans="1:29">
      <c r="AC39" s="12"/>
    </row>
    <row r="40" spans="1:29" ht="43.2">
      <c r="A40" s="9" t="s">
        <v>1</v>
      </c>
      <c r="B40" s="2" t="s">
        <v>2</v>
      </c>
      <c r="C40" s="2" t="s">
        <v>31</v>
      </c>
      <c r="D40" s="2" t="s">
        <v>4</v>
      </c>
      <c r="E40" s="2" t="s">
        <v>32</v>
      </c>
      <c r="F40" s="2" t="s">
        <v>16</v>
      </c>
      <c r="G40" s="2" t="s">
        <v>17</v>
      </c>
      <c r="H40" s="2" t="s">
        <v>33</v>
      </c>
      <c r="I40" s="2" t="s">
        <v>34</v>
      </c>
      <c r="J40" s="2" t="s">
        <v>35</v>
      </c>
      <c r="K40" s="2" t="s">
        <v>36</v>
      </c>
      <c r="L40" s="2" t="s">
        <v>37</v>
      </c>
      <c r="M40" s="2" t="s">
        <v>28</v>
      </c>
    </row>
    <row r="41" spans="1:29" ht="43.2">
      <c r="A41" s="9">
        <v>16</v>
      </c>
      <c r="B41" s="8" t="s">
        <v>38</v>
      </c>
      <c r="C41" s="10">
        <v>520021</v>
      </c>
      <c r="D41" s="3">
        <v>45717</v>
      </c>
      <c r="E41" s="11">
        <v>42.44</v>
      </c>
      <c r="F41" s="11">
        <v>27.99</v>
      </c>
      <c r="G41" s="11">
        <v>6.9</v>
      </c>
      <c r="H41" s="11">
        <v>0.01</v>
      </c>
      <c r="I41" s="12">
        <f>SUM(E41:H41)</f>
        <v>77.34</v>
      </c>
      <c r="J41" s="11">
        <v>21</v>
      </c>
      <c r="K41" s="13">
        <v>294</v>
      </c>
      <c r="L41" s="12">
        <f>SUM(J41:K41)</f>
        <v>315</v>
      </c>
      <c r="M41" s="12">
        <f>I41/L41</f>
        <v>0.24552380952380953</v>
      </c>
    </row>
    <row r="42" spans="1:29" ht="43.2">
      <c r="A42" s="9">
        <v>16</v>
      </c>
      <c r="B42" s="8" t="s">
        <v>38</v>
      </c>
      <c r="C42" s="10">
        <v>520021</v>
      </c>
      <c r="D42" s="3">
        <v>45352</v>
      </c>
      <c r="E42" s="11">
        <v>69.97</v>
      </c>
      <c r="F42" s="11">
        <v>40.19</v>
      </c>
      <c r="G42" s="11">
        <v>7.47</v>
      </c>
      <c r="H42" s="11">
        <v>0</v>
      </c>
      <c r="I42" s="12">
        <f t="shared" ref="I42:I70" si="14">SUM(E42:H42)</f>
        <v>117.63</v>
      </c>
      <c r="J42" s="11">
        <v>21</v>
      </c>
      <c r="K42" s="13">
        <v>276</v>
      </c>
      <c r="L42" s="12">
        <f t="shared" ref="L42:L70" si="15">SUM(J42:K42)</f>
        <v>297</v>
      </c>
      <c r="M42" s="12">
        <f t="shared" ref="M42:M70" si="16">I42/L42</f>
        <v>0.39606060606060606</v>
      </c>
    </row>
    <row r="43" spans="1:29" ht="43.2">
      <c r="A43" s="9">
        <v>16</v>
      </c>
      <c r="B43" s="8" t="s">
        <v>38</v>
      </c>
      <c r="C43" s="10">
        <v>520021</v>
      </c>
      <c r="D43" s="3">
        <v>44986</v>
      </c>
      <c r="E43" s="11">
        <v>93.15</v>
      </c>
      <c r="F43" s="11">
        <v>20.43</v>
      </c>
      <c r="G43" s="11">
        <v>5.72</v>
      </c>
      <c r="H43" s="11">
        <v>-0.01</v>
      </c>
      <c r="I43" s="12">
        <f t="shared" si="14"/>
        <v>119.29</v>
      </c>
      <c r="J43" s="11">
        <v>21</v>
      </c>
      <c r="K43" s="13">
        <v>265</v>
      </c>
      <c r="L43" s="12">
        <f t="shared" si="15"/>
        <v>286</v>
      </c>
      <c r="M43" s="12">
        <f t="shared" si="16"/>
        <v>0.4170979020979021</v>
      </c>
    </row>
    <row r="44" spans="1:29" ht="43.2">
      <c r="A44" s="9">
        <v>16</v>
      </c>
      <c r="B44" s="8" t="s">
        <v>38</v>
      </c>
      <c r="C44" s="10">
        <v>520021</v>
      </c>
      <c r="D44" s="3">
        <v>44621</v>
      </c>
      <c r="E44" s="11">
        <v>90.47</v>
      </c>
      <c r="F44" s="11">
        <v>46.68</v>
      </c>
      <c r="G44" s="11">
        <v>6.31</v>
      </c>
      <c r="H44" s="11">
        <v>0.01</v>
      </c>
      <c r="I44" s="12">
        <f t="shared" si="14"/>
        <v>143.47</v>
      </c>
      <c r="J44" s="11">
        <v>21</v>
      </c>
      <c r="K44" s="13">
        <v>289</v>
      </c>
      <c r="L44" s="12">
        <f t="shared" si="15"/>
        <v>310</v>
      </c>
      <c r="M44" s="12">
        <f t="shared" si="16"/>
        <v>0.46280645161290324</v>
      </c>
    </row>
    <row r="45" spans="1:29" ht="43.2">
      <c r="A45" s="9">
        <v>16</v>
      </c>
      <c r="B45" s="8" t="s">
        <v>38</v>
      </c>
      <c r="C45" s="10">
        <v>520021</v>
      </c>
      <c r="D45" s="3">
        <v>44256</v>
      </c>
      <c r="E45" s="11">
        <v>162.19999999999999</v>
      </c>
      <c r="F45" s="11">
        <v>56.28</v>
      </c>
      <c r="G45" s="11">
        <v>6.79</v>
      </c>
      <c r="H45" s="11">
        <v>0.01</v>
      </c>
      <c r="I45" s="12">
        <f t="shared" si="14"/>
        <v>225.27999999999997</v>
      </c>
      <c r="J45" s="11">
        <v>21</v>
      </c>
      <c r="K45" s="13">
        <v>265</v>
      </c>
      <c r="L45" s="12">
        <f t="shared" si="15"/>
        <v>286</v>
      </c>
      <c r="M45" s="22">
        <f t="shared" si="16"/>
        <v>0.78769230769230758</v>
      </c>
    </row>
    <row r="46" spans="1:29" ht="72">
      <c r="A46" s="9">
        <v>17</v>
      </c>
      <c r="B46" s="19" t="s">
        <v>39</v>
      </c>
      <c r="C46" s="10">
        <v>543812</v>
      </c>
      <c r="D46" s="3">
        <v>45717</v>
      </c>
      <c r="E46" s="21">
        <v>0.14000000000000001</v>
      </c>
      <c r="F46" s="21">
        <v>0.09</v>
      </c>
      <c r="G46" s="21">
        <v>0.84</v>
      </c>
      <c r="H46" s="21">
        <v>0</v>
      </c>
      <c r="I46" s="12">
        <f t="shared" si="14"/>
        <v>1.07</v>
      </c>
      <c r="J46" s="11">
        <v>15</v>
      </c>
      <c r="K46" s="13">
        <v>581</v>
      </c>
      <c r="L46" s="12">
        <f t="shared" si="15"/>
        <v>596</v>
      </c>
      <c r="M46" s="22">
        <f t="shared" si="16"/>
        <v>1.795302013422819E-3</v>
      </c>
      <c r="P46" s="23"/>
    </row>
    <row r="47" spans="1:29" ht="72">
      <c r="A47" s="9">
        <v>17</v>
      </c>
      <c r="B47" s="19" t="s">
        <v>39</v>
      </c>
      <c r="C47" s="10">
        <v>543812</v>
      </c>
      <c r="D47" s="3">
        <v>45352</v>
      </c>
      <c r="E47" s="21">
        <v>0.27</v>
      </c>
      <c r="F47" s="21">
        <v>0.08</v>
      </c>
      <c r="G47" s="21">
        <v>1.21</v>
      </c>
      <c r="H47" s="21">
        <v>0.01</v>
      </c>
      <c r="I47" s="12">
        <f t="shared" si="14"/>
        <v>1.57</v>
      </c>
      <c r="J47" s="11">
        <v>15</v>
      </c>
      <c r="K47" s="13">
        <v>565</v>
      </c>
      <c r="L47" s="12">
        <f t="shared" si="15"/>
        <v>580</v>
      </c>
      <c r="M47" s="22">
        <f t="shared" si="16"/>
        <v>2.706896551724138E-3</v>
      </c>
      <c r="P47" s="23"/>
    </row>
    <row r="48" spans="1:29" ht="72">
      <c r="A48" s="9">
        <v>17</v>
      </c>
      <c r="B48" s="19" t="s">
        <v>39</v>
      </c>
      <c r="C48" s="10">
        <v>543812</v>
      </c>
      <c r="D48" s="3">
        <v>44986</v>
      </c>
      <c r="E48" s="21">
        <v>0.32</v>
      </c>
      <c r="F48" s="21">
        <v>0.11</v>
      </c>
      <c r="G48" s="21">
        <v>2.11</v>
      </c>
      <c r="H48" s="21">
        <v>0</v>
      </c>
      <c r="I48" s="12">
        <f t="shared" si="14"/>
        <v>2.54</v>
      </c>
      <c r="J48" s="11">
        <v>15</v>
      </c>
      <c r="K48" s="13">
        <v>536</v>
      </c>
      <c r="L48" s="12">
        <f t="shared" si="15"/>
        <v>551</v>
      </c>
      <c r="M48" s="22">
        <f t="shared" si="16"/>
        <v>4.6098003629764066E-3</v>
      </c>
      <c r="P48" s="23"/>
      <c r="Q48" s="5"/>
      <c r="R48" s="5"/>
      <c r="S48" s="5"/>
      <c r="T48" s="5"/>
      <c r="U48" s="5"/>
    </row>
    <row r="49" spans="1:16" ht="72">
      <c r="A49" s="9">
        <v>17</v>
      </c>
      <c r="B49" s="19" t="s">
        <v>39</v>
      </c>
      <c r="C49" s="10">
        <v>543812</v>
      </c>
      <c r="D49" s="3">
        <v>44621</v>
      </c>
      <c r="E49" s="21">
        <v>0.04</v>
      </c>
      <c r="F49" s="21">
        <v>0.09</v>
      </c>
      <c r="G49" s="21">
        <v>0.35</v>
      </c>
      <c r="H49" s="21">
        <v>0</v>
      </c>
      <c r="I49" s="12">
        <f t="shared" si="14"/>
        <v>0.48</v>
      </c>
      <c r="J49" s="11">
        <v>14</v>
      </c>
      <c r="K49" s="13">
        <v>326</v>
      </c>
      <c r="L49" s="12">
        <f t="shared" si="15"/>
        <v>340</v>
      </c>
      <c r="M49" s="22">
        <f t="shared" si="16"/>
        <v>1.4117647058823528E-3</v>
      </c>
      <c r="P49" s="23"/>
    </row>
    <row r="50" spans="1:16" ht="72">
      <c r="A50" s="9">
        <v>17</v>
      </c>
      <c r="B50" s="19" t="s">
        <v>39</v>
      </c>
      <c r="C50" s="10">
        <v>543812</v>
      </c>
      <c r="D50" s="3">
        <v>44256</v>
      </c>
      <c r="E50" s="21">
        <v>0.13</v>
      </c>
      <c r="F50" s="21">
        <v>0.12</v>
      </c>
      <c r="G50" s="21">
        <v>0.87</v>
      </c>
      <c r="H50" s="21">
        <v>0</v>
      </c>
      <c r="I50" s="12">
        <f t="shared" si="14"/>
        <v>1.1200000000000001</v>
      </c>
      <c r="J50" s="11">
        <v>7</v>
      </c>
      <c r="K50" s="13">
        <v>289</v>
      </c>
      <c r="L50" s="12">
        <f t="shared" si="15"/>
        <v>296</v>
      </c>
      <c r="M50" s="22">
        <f t="shared" si="16"/>
        <v>3.7837837837837842E-3</v>
      </c>
      <c r="P50" s="23"/>
    </row>
    <row r="51" spans="1:16" ht="57.6">
      <c r="A51" s="9">
        <v>18</v>
      </c>
      <c r="B51" s="19" t="s">
        <v>40</v>
      </c>
      <c r="C51" s="24">
        <v>530621</v>
      </c>
      <c r="D51" s="3">
        <v>45717</v>
      </c>
      <c r="E51" s="25">
        <v>19</v>
      </c>
      <c r="F51" s="25">
        <v>60</v>
      </c>
      <c r="G51" s="25">
        <v>0</v>
      </c>
      <c r="H51" s="25">
        <v>0</v>
      </c>
      <c r="I51" s="12">
        <f t="shared" si="14"/>
        <v>79</v>
      </c>
      <c r="J51" s="29">
        <v>5</v>
      </c>
      <c r="K51" s="30">
        <v>45</v>
      </c>
      <c r="L51" s="12">
        <f t="shared" si="15"/>
        <v>50</v>
      </c>
      <c r="M51" s="12">
        <f t="shared" si="16"/>
        <v>1.58</v>
      </c>
    </row>
    <row r="52" spans="1:16" ht="57.6">
      <c r="A52" s="9">
        <v>18</v>
      </c>
      <c r="B52" s="19" t="s">
        <v>40</v>
      </c>
      <c r="C52" s="24">
        <v>530621</v>
      </c>
      <c r="D52" s="3">
        <v>45352</v>
      </c>
      <c r="E52" s="25">
        <v>27</v>
      </c>
      <c r="F52" s="25">
        <v>51</v>
      </c>
      <c r="G52" s="25">
        <v>0</v>
      </c>
      <c r="H52" s="25">
        <v>5</v>
      </c>
      <c r="I52" s="12">
        <f t="shared" si="14"/>
        <v>83</v>
      </c>
      <c r="J52" s="29">
        <v>5</v>
      </c>
      <c r="K52" s="30">
        <v>39</v>
      </c>
      <c r="L52" s="12">
        <f t="shared" si="15"/>
        <v>44</v>
      </c>
      <c r="M52" s="22">
        <f t="shared" si="16"/>
        <v>1.8863636363636365</v>
      </c>
    </row>
    <row r="53" spans="1:16" ht="57.6">
      <c r="A53" s="9">
        <v>18</v>
      </c>
      <c r="B53" s="19" t="s">
        <v>40</v>
      </c>
      <c r="C53" s="24">
        <v>530621</v>
      </c>
      <c r="D53" s="3">
        <v>44986</v>
      </c>
      <c r="E53" s="25">
        <v>20</v>
      </c>
      <c r="F53" s="25">
        <v>39</v>
      </c>
      <c r="G53" s="25">
        <v>0</v>
      </c>
      <c r="H53" s="25">
        <v>5</v>
      </c>
      <c r="I53" s="12">
        <f t="shared" si="14"/>
        <v>64</v>
      </c>
      <c r="J53" s="29">
        <v>5</v>
      </c>
      <c r="K53" s="30">
        <v>34</v>
      </c>
      <c r="L53" s="12">
        <f t="shared" si="15"/>
        <v>39</v>
      </c>
      <c r="M53" s="22">
        <f t="shared" si="16"/>
        <v>1.641025641025641</v>
      </c>
    </row>
    <row r="54" spans="1:16" ht="57.6">
      <c r="A54" s="9">
        <v>18</v>
      </c>
      <c r="B54" s="19" t="s">
        <v>40</v>
      </c>
      <c r="C54" s="24">
        <v>530621</v>
      </c>
      <c r="D54" s="3">
        <v>44621</v>
      </c>
      <c r="E54" s="25">
        <v>25</v>
      </c>
      <c r="F54" s="25">
        <v>40</v>
      </c>
      <c r="G54" s="25">
        <v>0</v>
      </c>
      <c r="H54" s="25">
        <v>6</v>
      </c>
      <c r="I54" s="12">
        <f t="shared" si="14"/>
        <v>71</v>
      </c>
      <c r="J54" s="29">
        <v>5</v>
      </c>
      <c r="K54" s="30">
        <v>27</v>
      </c>
      <c r="L54" s="12">
        <f t="shared" si="15"/>
        <v>32</v>
      </c>
      <c r="M54" s="22">
        <f t="shared" si="16"/>
        <v>2.21875</v>
      </c>
    </row>
    <row r="55" spans="1:16" ht="57.6">
      <c r="A55" s="9">
        <v>18</v>
      </c>
      <c r="B55" s="19" t="s">
        <v>40</v>
      </c>
      <c r="C55" s="24">
        <v>530621</v>
      </c>
      <c r="D55" s="3">
        <v>44256</v>
      </c>
      <c r="E55" s="25">
        <v>28</v>
      </c>
      <c r="F55" s="25">
        <v>44</v>
      </c>
      <c r="G55" s="25">
        <v>0</v>
      </c>
      <c r="H55" s="25">
        <v>7</v>
      </c>
      <c r="I55" s="12">
        <f t="shared" si="14"/>
        <v>79</v>
      </c>
      <c r="J55" s="29">
        <v>5</v>
      </c>
      <c r="K55" s="30">
        <v>20</v>
      </c>
      <c r="L55" s="12">
        <f t="shared" si="15"/>
        <v>25</v>
      </c>
      <c r="M55" s="22">
        <f t="shared" si="16"/>
        <v>3.16</v>
      </c>
    </row>
    <row r="56" spans="1:16" ht="28.8">
      <c r="A56" s="9">
        <v>19</v>
      </c>
      <c r="B56" s="19" t="s">
        <v>41</v>
      </c>
      <c r="C56" s="10">
        <v>523638</v>
      </c>
      <c r="D56" s="3">
        <v>45717</v>
      </c>
      <c r="E56" s="29">
        <v>43</v>
      </c>
      <c r="F56" s="29">
        <v>56</v>
      </c>
      <c r="G56" s="29">
        <v>5</v>
      </c>
      <c r="H56" s="29">
        <v>0</v>
      </c>
      <c r="I56" s="12">
        <f t="shared" si="14"/>
        <v>104</v>
      </c>
      <c r="J56" s="29">
        <v>13</v>
      </c>
      <c r="K56" s="30">
        <v>90</v>
      </c>
      <c r="L56" s="12">
        <f t="shared" si="15"/>
        <v>103</v>
      </c>
      <c r="M56" s="12">
        <f t="shared" si="16"/>
        <v>1.0097087378640777</v>
      </c>
    </row>
    <row r="57" spans="1:16" ht="28.8">
      <c r="A57" s="9">
        <v>19</v>
      </c>
      <c r="B57" s="19" t="s">
        <v>41</v>
      </c>
      <c r="C57" s="10">
        <v>523638</v>
      </c>
      <c r="D57" s="3">
        <v>45352</v>
      </c>
      <c r="E57" s="29">
        <v>34</v>
      </c>
      <c r="F57" s="29">
        <v>49</v>
      </c>
      <c r="G57" s="29">
        <v>4</v>
      </c>
      <c r="H57" s="29">
        <v>0</v>
      </c>
      <c r="I57" s="12">
        <f t="shared" si="14"/>
        <v>87</v>
      </c>
      <c r="J57" s="29">
        <v>13</v>
      </c>
      <c r="K57" s="30">
        <v>94</v>
      </c>
      <c r="L57" s="12">
        <f t="shared" si="15"/>
        <v>107</v>
      </c>
      <c r="M57" s="12">
        <f t="shared" si="16"/>
        <v>0.81308411214953269</v>
      </c>
    </row>
    <row r="58" spans="1:16" ht="28.8">
      <c r="A58" s="9">
        <v>19</v>
      </c>
      <c r="B58" s="19" t="s">
        <v>41</v>
      </c>
      <c r="C58" s="10">
        <v>523638</v>
      </c>
      <c r="D58" s="3">
        <v>44986</v>
      </c>
      <c r="E58" s="29">
        <v>41</v>
      </c>
      <c r="F58" s="29">
        <v>55</v>
      </c>
      <c r="G58" s="29">
        <v>5</v>
      </c>
      <c r="H58" s="29">
        <v>0</v>
      </c>
      <c r="I58" s="12">
        <f t="shared" si="14"/>
        <v>101</v>
      </c>
      <c r="J58" s="29">
        <v>13</v>
      </c>
      <c r="K58" s="30">
        <v>98</v>
      </c>
      <c r="L58" s="12">
        <f t="shared" si="15"/>
        <v>111</v>
      </c>
      <c r="M58" s="12">
        <f t="shared" si="16"/>
        <v>0.90990990990990994</v>
      </c>
    </row>
    <row r="59" spans="1:16" ht="28.8">
      <c r="A59" s="9">
        <v>19</v>
      </c>
      <c r="B59" s="19" t="s">
        <v>41</v>
      </c>
      <c r="C59" s="10">
        <v>523638</v>
      </c>
      <c r="D59" s="3">
        <v>44621</v>
      </c>
      <c r="E59" s="29">
        <v>50</v>
      </c>
      <c r="F59" s="29">
        <v>58</v>
      </c>
      <c r="G59" s="29">
        <v>5</v>
      </c>
      <c r="H59" s="29">
        <v>0</v>
      </c>
      <c r="I59" s="12">
        <f t="shared" si="14"/>
        <v>113</v>
      </c>
      <c r="J59" s="29">
        <v>13</v>
      </c>
      <c r="K59" s="30">
        <v>99</v>
      </c>
      <c r="L59" s="12">
        <f t="shared" si="15"/>
        <v>112</v>
      </c>
      <c r="M59" s="12">
        <f t="shared" si="16"/>
        <v>1.0089285714285714</v>
      </c>
    </row>
    <row r="60" spans="1:16" ht="28.8">
      <c r="A60" s="9">
        <v>19</v>
      </c>
      <c r="B60" s="19" t="s">
        <v>41</v>
      </c>
      <c r="C60" s="10">
        <v>523638</v>
      </c>
      <c r="D60" s="3">
        <v>44256</v>
      </c>
      <c r="E60" s="29">
        <v>39</v>
      </c>
      <c r="F60" s="29">
        <v>54</v>
      </c>
      <c r="G60" s="29">
        <v>6</v>
      </c>
      <c r="H60" s="29">
        <v>0</v>
      </c>
      <c r="I60" s="12">
        <f t="shared" si="14"/>
        <v>99</v>
      </c>
      <c r="J60" s="29">
        <v>13</v>
      </c>
      <c r="K60" s="30">
        <v>93</v>
      </c>
      <c r="L60" s="12">
        <f t="shared" si="15"/>
        <v>106</v>
      </c>
      <c r="M60" s="12">
        <f t="shared" si="16"/>
        <v>0.93396226415094341</v>
      </c>
    </row>
    <row r="61" spans="1:16" ht="43.2">
      <c r="A61" s="9">
        <v>20</v>
      </c>
      <c r="B61" s="19" t="s">
        <v>42</v>
      </c>
      <c r="C61" s="24">
        <v>539353</v>
      </c>
      <c r="D61" s="3">
        <v>45717</v>
      </c>
      <c r="E61" s="26">
        <v>5.16</v>
      </c>
      <c r="F61" s="26">
        <v>16.850000000000001</v>
      </c>
      <c r="G61" s="26">
        <v>1.66</v>
      </c>
      <c r="H61" s="26">
        <v>0</v>
      </c>
      <c r="I61" s="12">
        <f t="shared" si="14"/>
        <v>23.67</v>
      </c>
      <c r="J61" s="26">
        <v>2</v>
      </c>
      <c r="K61" s="28">
        <v>41</v>
      </c>
      <c r="L61" s="12">
        <f t="shared" si="15"/>
        <v>43</v>
      </c>
      <c r="M61" s="12">
        <f t="shared" si="16"/>
        <v>0.5504651162790698</v>
      </c>
    </row>
    <row r="62" spans="1:16" ht="43.2">
      <c r="A62" s="9">
        <v>20</v>
      </c>
      <c r="B62" s="19" t="s">
        <v>42</v>
      </c>
      <c r="C62" s="24">
        <v>539353</v>
      </c>
      <c r="D62" s="3">
        <v>45352</v>
      </c>
      <c r="E62" s="26">
        <v>0.15</v>
      </c>
      <c r="F62" s="26">
        <v>24.36</v>
      </c>
      <c r="G62" s="26">
        <v>2.34</v>
      </c>
      <c r="H62" s="26">
        <v>0</v>
      </c>
      <c r="I62" s="12">
        <f t="shared" si="14"/>
        <v>26.849999999999998</v>
      </c>
      <c r="J62" s="26">
        <v>2</v>
      </c>
      <c r="K62" s="28">
        <v>36</v>
      </c>
      <c r="L62" s="12">
        <f t="shared" si="15"/>
        <v>38</v>
      </c>
      <c r="M62" s="12">
        <f t="shared" si="16"/>
        <v>0.70657894736842097</v>
      </c>
    </row>
    <row r="63" spans="1:16" ht="43.2">
      <c r="A63" s="9">
        <v>20</v>
      </c>
      <c r="B63" s="19" t="s">
        <v>42</v>
      </c>
      <c r="C63" s="24">
        <v>539353</v>
      </c>
      <c r="D63" s="3">
        <v>44986</v>
      </c>
      <c r="E63" s="26">
        <v>8.8800000000000008</v>
      </c>
      <c r="F63" s="26">
        <v>27.12</v>
      </c>
      <c r="G63" s="26">
        <v>2.95</v>
      </c>
      <c r="H63" s="26">
        <v>0</v>
      </c>
      <c r="I63" s="12">
        <f t="shared" si="14"/>
        <v>38.950000000000003</v>
      </c>
      <c r="J63" s="26">
        <v>2</v>
      </c>
      <c r="K63" s="28">
        <v>33</v>
      </c>
      <c r="L63" s="12">
        <f t="shared" si="15"/>
        <v>35</v>
      </c>
      <c r="M63" s="12">
        <f t="shared" si="16"/>
        <v>1.112857142857143</v>
      </c>
    </row>
    <row r="64" spans="1:16" ht="43.2">
      <c r="A64" s="9">
        <v>20</v>
      </c>
      <c r="B64" s="19" t="s">
        <v>42</v>
      </c>
      <c r="C64" s="24">
        <v>539353</v>
      </c>
      <c r="D64" s="3">
        <v>44621</v>
      </c>
      <c r="E64" s="26">
        <v>2.11</v>
      </c>
      <c r="F64" s="26">
        <v>25.03</v>
      </c>
      <c r="G64" s="26">
        <v>0.7</v>
      </c>
      <c r="H64" s="26">
        <v>0.01</v>
      </c>
      <c r="I64" s="12">
        <f t="shared" si="14"/>
        <v>27.85</v>
      </c>
      <c r="J64" s="26">
        <v>2</v>
      </c>
      <c r="K64" s="28">
        <v>28</v>
      </c>
      <c r="L64" s="12">
        <f t="shared" si="15"/>
        <v>30</v>
      </c>
      <c r="M64" s="12">
        <f t="shared" si="16"/>
        <v>0.92833333333333334</v>
      </c>
    </row>
    <row r="65" spans="1:13" ht="43.2">
      <c r="A65" s="9">
        <v>20</v>
      </c>
      <c r="B65" s="19" t="s">
        <v>42</v>
      </c>
      <c r="C65" s="24">
        <v>539353</v>
      </c>
      <c r="D65" s="3">
        <v>44256</v>
      </c>
      <c r="E65" s="26">
        <v>2.41</v>
      </c>
      <c r="F65" s="26">
        <v>6.4</v>
      </c>
      <c r="G65" s="26">
        <v>0.86</v>
      </c>
      <c r="H65" s="26">
        <v>0</v>
      </c>
      <c r="I65" s="12">
        <f t="shared" si="14"/>
        <v>9.67</v>
      </c>
      <c r="J65" s="26">
        <v>2</v>
      </c>
      <c r="K65" s="28">
        <v>31</v>
      </c>
      <c r="L65" s="12">
        <f t="shared" si="15"/>
        <v>33</v>
      </c>
      <c r="M65" s="12">
        <f t="shared" si="16"/>
        <v>0.29303030303030303</v>
      </c>
    </row>
    <row r="66" spans="1:13" ht="57.6">
      <c r="A66" s="9">
        <v>21</v>
      </c>
      <c r="B66" s="19" t="s">
        <v>43</v>
      </c>
      <c r="C66" s="10">
        <v>590072</v>
      </c>
      <c r="D66" s="3">
        <v>45717</v>
      </c>
      <c r="E66" s="42">
        <v>3.98</v>
      </c>
      <c r="F66" s="42">
        <v>51.74</v>
      </c>
      <c r="G66" s="9">
        <v>0</v>
      </c>
      <c r="H66" s="9">
        <v>0</v>
      </c>
      <c r="I66" s="12">
        <f t="shared" si="14"/>
        <v>55.72</v>
      </c>
      <c r="J66" s="9">
        <v>4</v>
      </c>
      <c r="K66" s="43">
        <v>95</v>
      </c>
      <c r="L66" s="12">
        <f t="shared" si="15"/>
        <v>99</v>
      </c>
      <c r="M66" s="12">
        <f t="shared" si="16"/>
        <v>0.56282828282828279</v>
      </c>
    </row>
    <row r="67" spans="1:13" ht="57.6">
      <c r="A67" s="9">
        <v>21</v>
      </c>
      <c r="B67" s="19" t="s">
        <v>43</v>
      </c>
      <c r="C67" s="10">
        <v>590072</v>
      </c>
      <c r="D67" s="3">
        <v>45352</v>
      </c>
      <c r="E67" s="42">
        <v>4.99</v>
      </c>
      <c r="F67" s="42">
        <v>39.24</v>
      </c>
      <c r="G67" s="9">
        <v>0</v>
      </c>
      <c r="H67" s="9">
        <v>0</v>
      </c>
      <c r="I67" s="12">
        <f t="shared" si="14"/>
        <v>44.230000000000004</v>
      </c>
      <c r="J67" s="9">
        <v>4</v>
      </c>
      <c r="K67" s="43">
        <v>91</v>
      </c>
      <c r="L67" s="12">
        <f t="shared" si="15"/>
        <v>95</v>
      </c>
      <c r="M67" s="12">
        <f t="shared" si="16"/>
        <v>0.46557894736842109</v>
      </c>
    </row>
    <row r="68" spans="1:13" ht="57.6">
      <c r="A68" s="9">
        <v>21</v>
      </c>
      <c r="B68" s="19" t="s">
        <v>43</v>
      </c>
      <c r="C68" s="10">
        <v>590072</v>
      </c>
      <c r="D68" s="3">
        <v>44986</v>
      </c>
      <c r="E68" s="42">
        <v>4.9400000000000004</v>
      </c>
      <c r="F68" s="42">
        <v>45.04</v>
      </c>
      <c r="G68" s="9">
        <v>0</v>
      </c>
      <c r="H68" s="9">
        <v>0</v>
      </c>
      <c r="I68" s="12">
        <f t="shared" si="14"/>
        <v>49.98</v>
      </c>
      <c r="J68" s="9">
        <v>4</v>
      </c>
      <c r="K68" s="43">
        <v>81</v>
      </c>
      <c r="L68" s="12">
        <f t="shared" si="15"/>
        <v>85</v>
      </c>
      <c r="M68" s="12">
        <f t="shared" si="16"/>
        <v>0.58799999999999997</v>
      </c>
    </row>
    <row r="69" spans="1:13" ht="57.6">
      <c r="A69" s="9">
        <v>21</v>
      </c>
      <c r="B69" s="19" t="s">
        <v>43</v>
      </c>
      <c r="C69" s="10">
        <v>590072</v>
      </c>
      <c r="D69" s="3">
        <v>44621</v>
      </c>
      <c r="E69" s="42">
        <v>0</v>
      </c>
      <c r="F69" s="42">
        <v>41.64</v>
      </c>
      <c r="G69" s="9">
        <v>0</v>
      </c>
      <c r="H69" s="9">
        <v>0</v>
      </c>
      <c r="I69" s="12">
        <f t="shared" si="14"/>
        <v>41.64</v>
      </c>
      <c r="J69" s="9">
        <v>4</v>
      </c>
      <c r="K69" s="43">
        <v>87</v>
      </c>
      <c r="L69" s="12">
        <f t="shared" si="15"/>
        <v>91</v>
      </c>
      <c r="M69" s="12">
        <f t="shared" si="16"/>
        <v>0.45758241758241758</v>
      </c>
    </row>
    <row r="70" spans="1:13" ht="57.6">
      <c r="A70" s="9">
        <v>21</v>
      </c>
      <c r="B70" s="19" t="s">
        <v>43</v>
      </c>
      <c r="C70" s="10">
        <v>590072</v>
      </c>
      <c r="D70" s="3">
        <v>44256</v>
      </c>
      <c r="E70" s="42">
        <v>1.23</v>
      </c>
      <c r="F70" s="42">
        <v>28.54</v>
      </c>
      <c r="G70" s="9">
        <v>0</v>
      </c>
      <c r="H70" s="9">
        <v>0</v>
      </c>
      <c r="I70" s="12">
        <f t="shared" si="14"/>
        <v>29.77</v>
      </c>
      <c r="J70" s="9">
        <v>4</v>
      </c>
      <c r="K70" s="43">
        <v>86</v>
      </c>
      <c r="L70" s="12">
        <f t="shared" si="15"/>
        <v>90</v>
      </c>
      <c r="M70" s="12">
        <f t="shared" si="16"/>
        <v>0.33077777777777778</v>
      </c>
    </row>
  </sheetData>
  <mergeCells count="2">
    <mergeCell ref="C3:I3"/>
    <mergeCell ref="B38:I38"/>
  </mergeCells>
  <hyperlinks>
    <hyperlink ref="C6" r:id="rId1" display="https://www.bseindia.com/stock-share-price/omax-autos-ltd/OMAXAUTO/520021/" xr:uid="{23A7C15A-55C2-49C2-81F0-34843262186F}"/>
    <hyperlink ref="C7:C10" r:id="rId2" display="https://www.bseindia.com/stock-share-price/omax-autos-ltd/OMAXAUTO/520021/" xr:uid="{6D1864D3-D830-4BC1-B173-A99402A9D780}"/>
    <hyperlink ref="C41" r:id="rId3" display="https://www.bseindia.com/stock-share-price/omax-autos-ltd/OMAXAUTO/520021/" xr:uid="{A5541318-29E0-48D5-9EDA-CA7A969EE94B}"/>
    <hyperlink ref="C42:C45" r:id="rId4" display="https://www.bseindia.com/stock-share-price/omax-autos-ltd/OMAXAUTO/520021/" xr:uid="{54BBED73-4E97-4417-9B85-2DDD9026B072}"/>
    <hyperlink ref="C11" r:id="rId5" display="https://www.bseindia.com/stock-share-price/divgi-torqtransfer-systems-ltd/DIVGIITTS/543812/" xr:uid="{632544D3-6DD9-49F2-AB3A-F846216A98DA}"/>
    <hyperlink ref="C46" r:id="rId6" display="https://www.bseindia.com/stock-share-price/divgi-torqtransfer-systems-ltd/DIVGIITTS/543812/" xr:uid="{8A556A16-F52B-4298-B351-2515FF883F9C}"/>
    <hyperlink ref="C47" r:id="rId7" display="https://www.bseindia.com/stock-share-price/divgi-torqtransfer-systems-ltd/DIVGIITTS/543812/" xr:uid="{7914A737-4778-4F48-98D5-C6A9879C8D99}"/>
    <hyperlink ref="C48" r:id="rId8" display="https://www.bseindia.com/stock-share-price/divgi-torqtransfer-systems-ltd/DIVGIITTS/543812/" xr:uid="{A2928AD5-A857-4042-BE05-B9B7120D4F31}"/>
    <hyperlink ref="C49" r:id="rId9" display="https://www.bseindia.com/stock-share-price/divgi-torqtransfer-systems-ltd/DIVGIITTS/543812/" xr:uid="{901C8289-636C-46DA-93A1-A3019AF8E702}"/>
    <hyperlink ref="C50" r:id="rId10" display="https://www.bseindia.com/stock-share-price/divgi-torqtransfer-systems-ltd/DIVGIITTS/543812/" xr:uid="{D44A3235-085D-477C-9799-A1350CEF813B}"/>
    <hyperlink ref="C12:C15" r:id="rId11" display="https://www.bseindia.com/stock-share-price/divgi-torqtransfer-systems-ltd/DIVGIITTS/543812/" xr:uid="{0C7D36D1-67BB-4F27-A5FE-0BEBA13851D5}"/>
    <hyperlink ref="C16" r:id="rId12" display="https://www.bseindia.com/stock-share-price/akar-auto-industries-ltd/AAIL/530621/" xr:uid="{534DE4F2-A018-4C6E-A3A3-DDF5C41FBE1D}"/>
    <hyperlink ref="C51" r:id="rId13" display="https://www.bseindia.com/stock-share-price/akar-auto-industries-ltd/AAIL/530621/" xr:uid="{26537065-2F5E-4BB3-8418-3736EE00C544}"/>
    <hyperlink ref="C52:C55" r:id="rId14" display="https://www.bseindia.com/stock-share-price/akar-auto-industries-ltd/AAIL/530621/" xr:uid="{B2F68E5B-690A-4E4F-BE71-B34983F6A1D4}"/>
    <hyperlink ref="C21" r:id="rId15" display="https://www.bseindia.com/stock-share-price/ip-rings-ltd/IPRINGLTD/523638/" xr:uid="{35D4E7B5-7707-4FA5-AA63-6C9BD2F3DD09}"/>
    <hyperlink ref="C56" r:id="rId16" display="https://www.bseindia.com/stock-share-price/ip-rings-ltd/IPRINGLTD/523638/" xr:uid="{5F646BBF-64EE-4ED3-AE10-7F506545427A}"/>
    <hyperlink ref="C57:C60" r:id="rId17" display="https://www.bseindia.com/stock-share-price/ip-rings-ltd/IPRINGLTD/523638/" xr:uid="{166CE3DB-0C7F-47F8-82D9-18D6B61F4AB6}"/>
    <hyperlink ref="C26" r:id="rId18" display="https://www.bseindia.com/stock-share-price/sal-automotive-ltd/SALAUTO/539353/" xr:uid="{EF89483C-65C7-4903-B60A-0E8290CEC37A}"/>
    <hyperlink ref="C27:C30" r:id="rId19" display="https://www.bseindia.com/stock-share-price/sal-automotive-ltd/SALAUTO/539353/" xr:uid="{B27CD66E-D2BF-4D8B-980F-D7BFC3602534}"/>
    <hyperlink ref="C61" r:id="rId20" display="https://www.bseindia.com/stock-share-price/sal-automotive-ltd/SALAUTO/539353/" xr:uid="{7369E9E4-3916-46F9-B7B4-7404742387EF}"/>
    <hyperlink ref="C62:C65" r:id="rId21" display="https://www.bseindia.com/stock-share-price/sal-automotive-ltd/SALAUTO/539353/" xr:uid="{AF36A415-987D-49AB-9EAF-4692CEE43880}"/>
    <hyperlink ref="C31" r:id="rId22" display="https://www.bseindia.com/stock-share-price/sundaram-brake-linings-ltd/SUNDRMBRAK/590072/" xr:uid="{64DBC076-2795-4E86-80E9-4A38BB2280DF}"/>
    <hyperlink ref="C32:C36" r:id="rId23" display="https://www.bseindia.com/stock-share-price/sundaram-brake-linings-ltd/SUNDRMBRAK/590072/" xr:uid="{CBDED442-090C-4A41-B502-E345747F521B}"/>
    <hyperlink ref="C66" r:id="rId24" display="https://www.bseindia.com/stock-share-price/sundaram-brake-linings-ltd/SUNDRMBRAK/590072/" xr:uid="{763A0A91-26DC-431F-ABE9-8BF6C6402E63}"/>
    <hyperlink ref="C67:C70" r:id="rId25" display="https://www.bseindia.com/stock-share-price/sundaram-brake-linings-ltd/SUNDRMBRAK/590072/" xr:uid="{9D4DC9A8-17FC-4FFA-A7D6-77BBC90BD1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836E-49D3-4FC3-8426-7B5A9B77DDB3}">
  <dimension ref="B3:Z94"/>
  <sheetViews>
    <sheetView tabSelected="1" topLeftCell="A59" zoomScale="70" zoomScaleNormal="70" workbookViewId="0">
      <selection activeCell="AF72" sqref="AF72"/>
    </sheetView>
  </sheetViews>
  <sheetFormatPr defaultRowHeight="14.4"/>
  <cols>
    <col min="3" max="3" width="9.5546875" bestFit="1" customWidth="1"/>
    <col min="4" max="5" width="9" bestFit="1" customWidth="1"/>
    <col min="6" max="6" width="10.5546875" bestFit="1" customWidth="1"/>
    <col min="7" max="7" width="9" bestFit="1" customWidth="1"/>
    <col min="8" max="8" width="10.21875" bestFit="1" customWidth="1"/>
    <col min="9" max="9" width="10.5546875" bestFit="1" customWidth="1"/>
    <col min="10" max="10" width="10.21875" bestFit="1" customWidth="1"/>
  </cols>
  <sheetData>
    <row r="3" spans="3:21" ht="15" thickBot="1"/>
    <row r="4" spans="3:21">
      <c r="C4" s="100" t="s">
        <v>56</v>
      </c>
      <c r="D4" s="101"/>
      <c r="E4" s="101"/>
      <c r="F4" s="101"/>
      <c r="G4" s="101"/>
      <c r="H4" s="101"/>
      <c r="I4" s="101"/>
      <c r="J4" s="102"/>
      <c r="L4" s="95" t="s">
        <v>89</v>
      </c>
      <c r="M4" s="96"/>
      <c r="N4" s="96"/>
      <c r="O4" s="96"/>
      <c r="P4" s="96"/>
      <c r="Q4" s="96"/>
      <c r="R4" s="96"/>
      <c r="S4" s="97"/>
    </row>
    <row r="5" spans="3:21" ht="15" thickBot="1">
      <c r="C5" s="103" t="s">
        <v>44</v>
      </c>
      <c r="D5" s="104" t="s">
        <v>45</v>
      </c>
      <c r="E5" s="104"/>
      <c r="F5" s="104"/>
      <c r="G5" s="104"/>
      <c r="H5" s="104"/>
      <c r="I5" s="104"/>
      <c r="J5" s="105"/>
      <c r="L5" s="49"/>
      <c r="S5" s="50"/>
    </row>
    <row r="6" spans="3:21" ht="43.2" customHeight="1" thickBot="1">
      <c r="C6" s="103"/>
      <c r="D6" s="104" t="s">
        <v>46</v>
      </c>
      <c r="E6" s="104"/>
      <c r="F6" s="104"/>
      <c r="G6" s="104" t="s">
        <v>47</v>
      </c>
      <c r="H6" s="104"/>
      <c r="I6" s="104"/>
      <c r="J6" s="57" t="s">
        <v>48</v>
      </c>
      <c r="L6" s="51" t="s">
        <v>57</v>
      </c>
      <c r="M6" s="47" t="s">
        <v>58</v>
      </c>
      <c r="N6" s="47" t="s">
        <v>59</v>
      </c>
      <c r="O6" s="47" t="s">
        <v>60</v>
      </c>
      <c r="P6" s="47" t="s">
        <v>61</v>
      </c>
      <c r="Q6" s="47" t="s">
        <v>62</v>
      </c>
      <c r="R6" s="47" t="s">
        <v>63</v>
      </c>
      <c r="S6" s="52" t="s">
        <v>64</v>
      </c>
    </row>
    <row r="7" spans="3:21" ht="43.8" thickBot="1">
      <c r="C7" s="58" t="s">
        <v>27</v>
      </c>
      <c r="D7" s="44" t="s">
        <v>49</v>
      </c>
      <c r="E7" s="44" t="s">
        <v>50</v>
      </c>
      <c r="F7" s="45" t="s">
        <v>51</v>
      </c>
      <c r="G7" s="44" t="s">
        <v>52</v>
      </c>
      <c r="H7" s="45" t="s">
        <v>53</v>
      </c>
      <c r="I7" s="45" t="s">
        <v>54</v>
      </c>
      <c r="J7" s="57" t="s">
        <v>55</v>
      </c>
      <c r="L7" s="51" t="s">
        <v>27</v>
      </c>
      <c r="M7" s="48">
        <v>17.53</v>
      </c>
      <c r="N7" s="48">
        <v>17.55</v>
      </c>
      <c r="O7" s="48">
        <v>10.83</v>
      </c>
      <c r="P7" s="48">
        <v>-5.82</v>
      </c>
      <c r="Q7" s="48">
        <v>39.549999999999997</v>
      </c>
      <c r="R7" s="48">
        <v>9.9600000000000009</v>
      </c>
      <c r="S7" s="53">
        <v>22.2</v>
      </c>
    </row>
    <row r="8" spans="3:21" ht="40.799999999999997" thickBot="1">
      <c r="C8" s="59">
        <v>15.479824143821229</v>
      </c>
      <c r="D8" s="46">
        <v>0.95358184254078338</v>
      </c>
      <c r="E8" s="46">
        <v>0.24552380952380953</v>
      </c>
      <c r="F8" s="46">
        <v>3.943661971830986</v>
      </c>
      <c r="G8" s="46">
        <f>D8*E8</f>
        <v>0.23412704667334663</v>
      </c>
      <c r="H8" s="46">
        <f>D8*F8</f>
        <v>3.7606044494566104</v>
      </c>
      <c r="I8" s="46">
        <f>E8*F8</f>
        <v>0.9682629107981221</v>
      </c>
      <c r="J8" s="60">
        <f>D8*E8*F8</f>
        <v>0.92331793054277544</v>
      </c>
      <c r="L8" s="51" t="s">
        <v>65</v>
      </c>
      <c r="M8" s="48">
        <v>1.5</v>
      </c>
      <c r="N8" s="48">
        <v>0.91</v>
      </c>
      <c r="O8" s="48">
        <v>1.44</v>
      </c>
      <c r="P8" s="48">
        <v>0.69</v>
      </c>
      <c r="Q8" s="48">
        <v>5.68</v>
      </c>
      <c r="R8" s="48">
        <v>0.82</v>
      </c>
      <c r="S8" s="53">
        <v>1.08</v>
      </c>
    </row>
    <row r="9" spans="3:21" ht="40.799999999999997" thickBot="1">
      <c r="C9" s="59">
        <v>11.231470923603194</v>
      </c>
      <c r="D9" s="46">
        <v>1.1127145678262191</v>
      </c>
      <c r="E9" s="46">
        <v>0.39606060606060606</v>
      </c>
      <c r="F9" s="46">
        <v>17.940199335548172</v>
      </c>
      <c r="G9" s="46">
        <f t="shared" ref="G9:G37" si="0">D9*E9</f>
        <v>0.4407024061057177</v>
      </c>
      <c r="H9" s="46">
        <f t="shared" ref="H9:H37" si="1">D9*F9</f>
        <v>19.962321150370709</v>
      </c>
      <c r="I9" s="46">
        <f t="shared" ref="I9:I37" si="2">E9*F9</f>
        <v>7.1054062216852909</v>
      </c>
      <c r="J9" s="60">
        <f t="shared" ref="J9:J37" si="3">D9*E9*F9</f>
        <v>7.9062890131922776</v>
      </c>
      <c r="L9" s="51" t="s">
        <v>66</v>
      </c>
      <c r="M9" s="48">
        <v>0.78</v>
      </c>
      <c r="N9" s="48">
        <v>0.57999999999999996</v>
      </c>
      <c r="O9" s="48">
        <v>0.72</v>
      </c>
      <c r="P9" s="48">
        <v>0</v>
      </c>
      <c r="Q9" s="48">
        <v>3.16</v>
      </c>
      <c r="R9" s="48">
        <v>0.35</v>
      </c>
      <c r="S9" s="53">
        <v>0.99</v>
      </c>
    </row>
    <row r="10" spans="3:21" ht="27.6" thickBot="1">
      <c r="C10" s="59">
        <v>8.116361721732261</v>
      </c>
      <c r="D10" s="46">
        <v>0.98132870169344333</v>
      </c>
      <c r="E10" s="46">
        <v>0.4170979020979021</v>
      </c>
      <c r="F10" s="46">
        <v>35.585585585585584</v>
      </c>
      <c r="G10" s="46">
        <f t="shared" si="0"/>
        <v>0.40931014274479322</v>
      </c>
      <c r="H10" s="46">
        <f t="shared" si="1"/>
        <v>34.921156501703614</v>
      </c>
      <c r="I10" s="46">
        <f t="shared" si="2"/>
        <v>14.842673092673092</v>
      </c>
      <c r="J10" s="60">
        <f t="shared" si="3"/>
        <v>14.56554111569309</v>
      </c>
      <c r="L10" s="51" t="s">
        <v>51</v>
      </c>
      <c r="M10" s="48">
        <v>14.22</v>
      </c>
      <c r="N10" s="48">
        <v>13.79</v>
      </c>
      <c r="O10" s="48">
        <v>28.29</v>
      </c>
      <c r="P10" s="48">
        <v>-65.52</v>
      </c>
      <c r="Q10" s="48">
        <v>101.32</v>
      </c>
      <c r="R10" s="48">
        <v>-0.64</v>
      </c>
      <c r="S10" s="53">
        <v>24.97</v>
      </c>
    </row>
    <row r="11" spans="3:21" ht="15" thickBot="1">
      <c r="C11" s="59">
        <v>2.6124346891327717</v>
      </c>
      <c r="D11" s="46">
        <v>0.93275209949355731</v>
      </c>
      <c r="E11" s="46">
        <v>0.46280645161290324</v>
      </c>
      <c r="F11" s="46">
        <v>37.888198757763973</v>
      </c>
      <c r="G11" s="46">
        <f t="shared" si="0"/>
        <v>0.43168368940109891</v>
      </c>
      <c r="H11" s="46">
        <f t="shared" si="1"/>
        <v>35.340296937333534</v>
      </c>
      <c r="I11" s="46">
        <f t="shared" si="2"/>
        <v>17.534902825085151</v>
      </c>
      <c r="J11" s="60">
        <f t="shared" si="3"/>
        <v>16.355717424513685</v>
      </c>
      <c r="L11" s="51" t="s">
        <v>67</v>
      </c>
      <c r="M11" s="48">
        <v>0.66</v>
      </c>
      <c r="N11" s="48">
        <v>0.54</v>
      </c>
      <c r="O11" s="48">
        <v>0.57999999999999996</v>
      </c>
      <c r="P11" s="48">
        <v>0.01</v>
      </c>
      <c r="Q11" s="48">
        <v>2.59</v>
      </c>
      <c r="R11" s="48">
        <v>0.39</v>
      </c>
      <c r="S11" s="53">
        <v>0.79</v>
      </c>
    </row>
    <row r="12" spans="3:21" ht="27.6" thickBot="1">
      <c r="C12" s="59">
        <v>-5.8227340565344257</v>
      </c>
      <c r="D12" s="46">
        <v>1.152217671965017</v>
      </c>
      <c r="E12" s="46">
        <v>0.78769230769230758</v>
      </c>
      <c r="F12" s="46">
        <v>-65.524625267665954</v>
      </c>
      <c r="G12" s="46">
        <f t="shared" si="0"/>
        <v>0.90759299699398255</v>
      </c>
      <c r="H12" s="46">
        <f t="shared" si="1"/>
        <v>-75.498631182290197</v>
      </c>
      <c r="I12" s="46">
        <f t="shared" si="2"/>
        <v>-51.613243287761485</v>
      </c>
      <c r="J12" s="60">
        <f t="shared" si="3"/>
        <v>-59.469691023588581</v>
      </c>
      <c r="L12" s="51" t="s">
        <v>68</v>
      </c>
      <c r="M12" s="48">
        <v>14.45</v>
      </c>
      <c r="N12" s="48">
        <v>14.44</v>
      </c>
      <c r="O12" s="48">
        <v>37.729999999999997</v>
      </c>
      <c r="P12" s="48">
        <v>-76.34</v>
      </c>
      <c r="Q12" s="48">
        <v>91.07</v>
      </c>
      <c r="R12" s="48">
        <v>-0.62</v>
      </c>
      <c r="S12" s="53">
        <v>33.72</v>
      </c>
    </row>
    <row r="13" spans="3:21" ht="40.799999999999997" thickBot="1">
      <c r="C13" s="59">
        <v>9.8951627735883765</v>
      </c>
      <c r="D13" s="46">
        <v>5.6802669497952367</v>
      </c>
      <c r="E13" s="46">
        <v>1.795302013422819E-3</v>
      </c>
      <c r="F13" s="46">
        <v>-13.438735177865613</v>
      </c>
      <c r="G13" s="46">
        <f t="shared" si="0"/>
        <v>1.0197794691746483E-2</v>
      </c>
      <c r="H13" s="46">
        <f t="shared" si="1"/>
        <v>-76.335603277880651</v>
      </c>
      <c r="I13" s="46">
        <f t="shared" si="2"/>
        <v>-2.4126588322678201E-2</v>
      </c>
      <c r="J13" s="60">
        <f t="shared" si="3"/>
        <v>-0.13704546226062467</v>
      </c>
      <c r="L13" s="51" t="s">
        <v>69</v>
      </c>
      <c r="M13" s="48">
        <v>12.84</v>
      </c>
      <c r="N13" s="48">
        <v>0.95</v>
      </c>
      <c r="O13" s="48">
        <v>31.89</v>
      </c>
      <c r="P13" s="48">
        <v>-51.61</v>
      </c>
      <c r="Q13" s="48">
        <v>112.76</v>
      </c>
      <c r="R13" s="48">
        <v>-0.02</v>
      </c>
      <c r="S13" s="53">
        <v>14.26</v>
      </c>
    </row>
    <row r="14" spans="3:21" ht="40.799999999999997" thickBot="1">
      <c r="C14" s="59">
        <v>12.50625312656328</v>
      </c>
      <c r="D14" s="46">
        <v>5.5918494322600729</v>
      </c>
      <c r="E14" s="46">
        <v>2.706896551724138E-3</v>
      </c>
      <c r="F14" s="46">
        <v>-6.6420664206642064</v>
      </c>
      <c r="G14" s="46">
        <f t="shared" si="0"/>
        <v>1.5136557945945371E-2</v>
      </c>
      <c r="H14" s="46">
        <f t="shared" si="1"/>
        <v>-37.141435343424838</v>
      </c>
      <c r="I14" s="46">
        <f t="shared" si="2"/>
        <v>-1.7979386690418628E-2</v>
      </c>
      <c r="J14" s="60">
        <f t="shared" si="3"/>
        <v>-0.10053802325720172</v>
      </c>
      <c r="L14" s="54" t="s">
        <v>70</v>
      </c>
      <c r="M14" s="55">
        <v>10.6</v>
      </c>
      <c r="N14" s="55">
        <v>0.85</v>
      </c>
      <c r="O14" s="55">
        <v>28.4</v>
      </c>
      <c r="P14" s="55">
        <v>-59.47</v>
      </c>
      <c r="Q14" s="55">
        <v>98.91</v>
      </c>
      <c r="R14" s="55">
        <v>-0.08</v>
      </c>
      <c r="S14" s="56">
        <v>12.2</v>
      </c>
    </row>
    <row r="15" spans="3:21" ht="15" thickBot="1">
      <c r="C15" s="59">
        <v>14.973358947406576</v>
      </c>
      <c r="D15" s="46">
        <v>4.3568244534069205</v>
      </c>
      <c r="E15" s="46">
        <v>4.6098003629764066E-3</v>
      </c>
      <c r="F15" s="46">
        <v>15.811965811965813</v>
      </c>
      <c r="G15" s="46">
        <f t="shared" si="0"/>
        <v>2.0084090946739706E-2</v>
      </c>
      <c r="H15" s="46">
        <f t="shared" si="1"/>
        <v>68.889959306006858</v>
      </c>
      <c r="I15" s="46">
        <f t="shared" si="2"/>
        <v>7.2890005739370531E-2</v>
      </c>
      <c r="J15" s="60">
        <f t="shared" si="3"/>
        <v>0.31756895941426033</v>
      </c>
    </row>
    <row r="16" spans="3:21" ht="18">
      <c r="C16" s="59">
        <v>21.822358346094944</v>
      </c>
      <c r="D16" s="46">
        <v>3.6236119228521333</v>
      </c>
      <c r="E16" s="46">
        <v>1.4117647058823528E-3</v>
      </c>
      <c r="F16" s="46">
        <v>25.133689839572192</v>
      </c>
      <c r="G16" s="46">
        <f t="shared" si="0"/>
        <v>5.1156874204971291E-3</v>
      </c>
      <c r="H16" s="46">
        <f t="shared" si="1"/>
        <v>91.074738167941319</v>
      </c>
      <c r="I16" s="46">
        <f t="shared" si="2"/>
        <v>3.5482856244101912E-2</v>
      </c>
      <c r="J16" s="60">
        <f t="shared" si="3"/>
        <v>0.12857610094297597</v>
      </c>
      <c r="L16" s="64" t="s">
        <v>71</v>
      </c>
      <c r="M16" s="65"/>
      <c r="N16" s="65"/>
      <c r="O16" s="65"/>
      <c r="P16" s="65"/>
      <c r="Q16" s="65"/>
      <c r="R16" s="65"/>
      <c r="S16" s="65"/>
      <c r="T16" s="65"/>
      <c r="U16" s="66"/>
    </row>
    <row r="17" spans="3:21">
      <c r="C17" s="59">
        <v>20.411472585385628</v>
      </c>
      <c r="D17" s="46">
        <v>3.3504786398056861</v>
      </c>
      <c r="E17" s="46">
        <v>3.7837837837837842E-3</v>
      </c>
      <c r="F17" s="46">
        <v>17.610062893081761</v>
      </c>
      <c r="G17" s="46">
        <f t="shared" si="0"/>
        <v>1.2677486745210706E-2</v>
      </c>
      <c r="H17" s="46">
        <f t="shared" si="1"/>
        <v>59.002139568905164</v>
      </c>
      <c r="I17" s="46">
        <f t="shared" si="2"/>
        <v>6.6632670406255312E-2</v>
      </c>
      <c r="J17" s="60">
        <f t="shared" si="3"/>
        <v>0.22325133890937091</v>
      </c>
      <c r="L17" s="67"/>
      <c r="U17" s="50"/>
    </row>
    <row r="18" spans="3:21" ht="31.2" customHeight="1">
      <c r="C18" s="59">
        <v>39.550724637681157</v>
      </c>
      <c r="D18" s="46">
        <v>0.73795180722891573</v>
      </c>
      <c r="E18" s="46">
        <v>1.58</v>
      </c>
      <c r="F18" s="46">
        <v>0.26809651474530832</v>
      </c>
      <c r="G18" s="46">
        <f t="shared" si="0"/>
        <v>1.1659638554216869</v>
      </c>
      <c r="H18" s="46">
        <f t="shared" si="1"/>
        <v>0.19784230756807394</v>
      </c>
      <c r="I18" s="46">
        <f t="shared" si="2"/>
        <v>0.42359249329758719</v>
      </c>
      <c r="J18" s="60">
        <f t="shared" si="3"/>
        <v>0.31259084595755682</v>
      </c>
      <c r="L18" s="84" t="s">
        <v>72</v>
      </c>
      <c r="M18" s="85"/>
      <c r="N18" s="85"/>
      <c r="O18" s="85"/>
      <c r="P18" s="85"/>
      <c r="Q18" s="85"/>
      <c r="R18" s="85"/>
      <c r="S18" s="85"/>
      <c r="T18" s="85"/>
      <c r="U18" s="88"/>
    </row>
    <row r="19" spans="3:21">
      <c r="C19" s="59">
        <v>31.89473684210526</v>
      </c>
      <c r="D19" s="46">
        <v>0.78928571428571426</v>
      </c>
      <c r="E19" s="46">
        <v>1.8863636363636365</v>
      </c>
      <c r="F19" s="46">
        <v>1.9125683060109289</v>
      </c>
      <c r="G19" s="46">
        <f t="shared" si="0"/>
        <v>1.4888798701298702</v>
      </c>
      <c r="H19" s="46">
        <f t="shared" si="1"/>
        <v>1.5095628415300546</v>
      </c>
      <c r="I19" s="46">
        <f t="shared" si="2"/>
        <v>3.6077993045206158</v>
      </c>
      <c r="J19" s="60">
        <f t="shared" si="3"/>
        <v>2.8475844510680575</v>
      </c>
      <c r="L19" s="67"/>
      <c r="U19" s="50"/>
    </row>
    <row r="20" spans="3:21" ht="19.2" customHeight="1">
      <c r="C20" s="59">
        <v>33.606060606060609</v>
      </c>
      <c r="D20" s="46">
        <v>0.83471074380165289</v>
      </c>
      <c r="E20" s="46">
        <v>1.641025641025641</v>
      </c>
      <c r="F20" s="46">
        <v>36.059479553903344</v>
      </c>
      <c r="G20" s="46">
        <f t="shared" si="0"/>
        <v>1.3697817334180971</v>
      </c>
      <c r="H20" s="46">
        <f t="shared" si="1"/>
        <v>30.099234999539156</v>
      </c>
      <c r="I20" s="46">
        <f t="shared" si="2"/>
        <v>59.174530549995232</v>
      </c>
      <c r="J20" s="60">
        <f t="shared" si="3"/>
        <v>49.393616409500154</v>
      </c>
      <c r="L20" s="86" t="s">
        <v>73</v>
      </c>
      <c r="M20" s="87"/>
      <c r="N20" s="87"/>
      <c r="O20" s="87"/>
      <c r="P20" s="87"/>
      <c r="Q20" s="87"/>
      <c r="R20" s="87"/>
      <c r="S20" s="87"/>
      <c r="T20" s="87"/>
      <c r="U20" s="98"/>
    </row>
    <row r="21" spans="3:21">
      <c r="C21" s="59">
        <v>30.921875</v>
      </c>
      <c r="D21" s="46">
        <v>0.84210526315789469</v>
      </c>
      <c r="E21" s="46">
        <v>2.21875</v>
      </c>
      <c r="F21" s="46">
        <v>43.850267379679146</v>
      </c>
      <c r="G21" s="46">
        <f t="shared" si="0"/>
        <v>1.8684210526315788</v>
      </c>
      <c r="H21" s="46">
        <f t="shared" si="1"/>
        <v>36.926540951308752</v>
      </c>
      <c r="I21" s="46">
        <f t="shared" si="2"/>
        <v>97.292780748663105</v>
      </c>
      <c r="J21" s="60">
        <f t="shared" si="3"/>
        <v>81.930762735716286</v>
      </c>
      <c r="L21" s="67"/>
      <c r="U21" s="50"/>
    </row>
    <row r="22" spans="3:21" ht="29.4" customHeight="1">
      <c r="C22" s="59">
        <v>17.93333333333333</v>
      </c>
      <c r="D22" s="46">
        <v>0.81818181818181812</v>
      </c>
      <c r="E22" s="46">
        <v>3.16</v>
      </c>
      <c r="F22" s="46">
        <v>-5.5555555555555554</v>
      </c>
      <c r="G22" s="46">
        <f t="shared" si="0"/>
        <v>2.5854545454545454</v>
      </c>
      <c r="H22" s="46">
        <f t="shared" si="1"/>
        <v>-4.545454545454545</v>
      </c>
      <c r="I22" s="46">
        <f t="shared" si="2"/>
        <v>-17.555555555555557</v>
      </c>
      <c r="J22" s="60">
        <f t="shared" si="3"/>
        <v>-14.363636363636363</v>
      </c>
      <c r="L22" s="84" t="s">
        <v>74</v>
      </c>
      <c r="M22" s="85"/>
      <c r="N22" s="85"/>
      <c r="O22" s="85"/>
      <c r="P22" s="85"/>
      <c r="Q22" s="85"/>
      <c r="R22" s="85"/>
      <c r="S22" s="85"/>
      <c r="T22" s="85"/>
      <c r="U22" s="88"/>
    </row>
    <row r="23" spans="3:21">
      <c r="C23" s="59">
        <v>16.897260273972602</v>
      </c>
      <c r="D23" s="46">
        <v>0.69426751592356695</v>
      </c>
      <c r="E23" s="46">
        <v>1.0097087378640777</v>
      </c>
      <c r="F23" s="46">
        <v>-4.4164037854889591</v>
      </c>
      <c r="G23" s="46">
        <f t="shared" si="0"/>
        <v>0.70100797724321318</v>
      </c>
      <c r="H23" s="46">
        <f t="shared" si="1"/>
        <v>-3.0661656854668573</v>
      </c>
      <c r="I23" s="46">
        <f t="shared" si="2"/>
        <v>-4.4592814921441919</v>
      </c>
      <c r="J23" s="60">
        <f t="shared" si="3"/>
        <v>-3.0959342843548847</v>
      </c>
      <c r="L23" s="49"/>
      <c r="U23" s="50"/>
    </row>
    <row r="24" spans="3:21" ht="18">
      <c r="C24" s="59">
        <v>18.113475177304963</v>
      </c>
      <c r="D24" s="46">
        <v>0.73353293413173648</v>
      </c>
      <c r="E24" s="46">
        <v>0.81308411214953269</v>
      </c>
      <c r="F24" s="46">
        <v>-1.8575851393188854</v>
      </c>
      <c r="G24" s="46">
        <f t="shared" si="0"/>
        <v>0.59642397448094464</v>
      </c>
      <c r="H24" s="46">
        <f t="shared" si="1"/>
        <v>-1.3625998776440924</v>
      </c>
      <c r="I24" s="46">
        <f t="shared" si="2"/>
        <v>-1.5103729637452619</v>
      </c>
      <c r="J24" s="60">
        <f t="shared" si="3"/>
        <v>-1.1079083117293089</v>
      </c>
      <c r="L24" s="68" t="s">
        <v>75</v>
      </c>
      <c r="U24" s="50"/>
    </row>
    <row r="25" spans="3:21">
      <c r="C25" s="59">
        <v>19.176470588235293</v>
      </c>
      <c r="D25" s="46">
        <v>0.75153374233128833</v>
      </c>
      <c r="E25" s="46">
        <v>0.90990990990990994</v>
      </c>
      <c r="F25" s="46">
        <v>18.315018315018314</v>
      </c>
      <c r="G25" s="46">
        <f t="shared" si="0"/>
        <v>0.68382799977892006</v>
      </c>
      <c r="H25" s="46">
        <f t="shared" si="1"/>
        <v>13.764354255151801</v>
      </c>
      <c r="I25" s="46">
        <f t="shared" si="2"/>
        <v>16.665016665016665</v>
      </c>
      <c r="J25" s="60">
        <f t="shared" si="3"/>
        <v>12.52432234027326</v>
      </c>
      <c r="L25" s="67"/>
      <c r="U25" s="50"/>
    </row>
    <row r="26" spans="3:21" ht="29.4" customHeight="1">
      <c r="C26" s="59">
        <v>21.650306748466257</v>
      </c>
      <c r="D26" s="46">
        <v>0.77898550724637694</v>
      </c>
      <c r="E26" s="46">
        <v>1.0089285714285714</v>
      </c>
      <c r="F26" s="46">
        <v>37.878787878787875</v>
      </c>
      <c r="G26" s="46">
        <f t="shared" si="0"/>
        <v>0.78594073498964812</v>
      </c>
      <c r="H26" s="46">
        <f t="shared" si="1"/>
        <v>29.507026789635489</v>
      </c>
      <c r="I26" s="46">
        <f t="shared" si="2"/>
        <v>38.216991341991339</v>
      </c>
      <c r="J26" s="60">
        <f t="shared" si="3"/>
        <v>29.770482385971516</v>
      </c>
      <c r="L26" s="84" t="s">
        <v>76</v>
      </c>
      <c r="M26" s="85"/>
      <c r="N26" s="85"/>
      <c r="O26" s="85"/>
      <c r="P26" s="85"/>
      <c r="Q26" s="85"/>
      <c r="R26" s="85"/>
      <c r="S26" s="85"/>
      <c r="T26" s="85"/>
      <c r="U26" s="88"/>
    </row>
    <row r="27" spans="3:21">
      <c r="C27" s="59">
        <v>17.917241379310344</v>
      </c>
      <c r="D27" s="46">
        <v>0.7421875</v>
      </c>
      <c r="E27" s="46">
        <v>0.93396226415094341</v>
      </c>
      <c r="F27" s="46">
        <v>0</v>
      </c>
      <c r="G27" s="46">
        <f t="shared" si="0"/>
        <v>0.69317511792452835</v>
      </c>
      <c r="H27" s="46">
        <f t="shared" si="1"/>
        <v>0</v>
      </c>
      <c r="I27" s="46">
        <f t="shared" si="2"/>
        <v>0</v>
      </c>
      <c r="J27" s="60">
        <f t="shared" si="3"/>
        <v>0</v>
      </c>
      <c r="L27" s="67"/>
      <c r="U27" s="50"/>
    </row>
    <row r="28" spans="3:21">
      <c r="C28" s="59">
        <v>30.377397401526085</v>
      </c>
      <c r="D28" s="46">
        <v>0.89920815997852643</v>
      </c>
      <c r="E28" s="46">
        <v>0.5504651162790698</v>
      </c>
      <c r="F28" s="46">
        <v>22.727272727272727</v>
      </c>
      <c r="G28" s="46">
        <f t="shared" si="0"/>
        <v>0.49498272434166796</v>
      </c>
      <c r="H28" s="46">
        <f t="shared" si="1"/>
        <v>20.436549090421053</v>
      </c>
      <c r="I28" s="46">
        <f t="shared" si="2"/>
        <v>12.510570824524313</v>
      </c>
      <c r="J28" s="60">
        <f t="shared" si="3"/>
        <v>11.249607371401543</v>
      </c>
      <c r="L28" s="82" t="s">
        <v>77</v>
      </c>
      <c r="M28" s="83"/>
      <c r="N28" s="83"/>
      <c r="O28" s="83"/>
      <c r="P28" s="83"/>
      <c r="Q28" s="83"/>
      <c r="R28" s="83"/>
      <c r="S28" s="83"/>
      <c r="T28" s="83"/>
      <c r="U28" s="99"/>
    </row>
    <row r="29" spans="3:21">
      <c r="C29" s="59">
        <v>36.449086161879904</v>
      </c>
      <c r="D29" s="46">
        <v>0.84124830393487104</v>
      </c>
      <c r="E29" s="46">
        <v>0.70657894736842097</v>
      </c>
      <c r="F29" s="46">
        <v>1.3157894736842106</v>
      </c>
      <c r="G29" s="46">
        <f t="shared" si="0"/>
        <v>0.5944083410697707</v>
      </c>
      <c r="H29" s="46">
        <f t="shared" si="1"/>
        <v>1.1069056630721987</v>
      </c>
      <c r="I29" s="46">
        <f t="shared" si="2"/>
        <v>0.9297091412742382</v>
      </c>
      <c r="J29" s="60">
        <f t="shared" si="3"/>
        <v>0.78211623824969834</v>
      </c>
      <c r="L29" s="67"/>
      <c r="U29" s="50"/>
    </row>
    <row r="30" spans="3:21" ht="30.6" customHeight="1">
      <c r="C30" s="59">
        <v>26.246300933302987</v>
      </c>
      <c r="D30" s="46">
        <v>0.87719298245614019</v>
      </c>
      <c r="E30" s="46">
        <v>1.112857142857143</v>
      </c>
      <c r="F30" s="46">
        <v>101.32450331125828</v>
      </c>
      <c r="G30" s="46">
        <f t="shared" si="0"/>
        <v>0.97619047619047616</v>
      </c>
      <c r="H30" s="46">
        <f t="shared" si="1"/>
        <v>88.881143255489704</v>
      </c>
      <c r="I30" s="46">
        <f t="shared" si="2"/>
        <v>112.75969725638602</v>
      </c>
      <c r="J30" s="60">
        <f t="shared" si="3"/>
        <v>98.912015137180703</v>
      </c>
      <c r="L30" s="84" t="s">
        <v>78</v>
      </c>
      <c r="M30" s="85"/>
      <c r="N30" s="85"/>
      <c r="O30" s="85"/>
      <c r="P30" s="85"/>
      <c r="Q30" s="85"/>
      <c r="R30" s="85"/>
      <c r="S30" s="85"/>
      <c r="T30" s="85"/>
      <c r="U30" s="88"/>
    </row>
    <row r="31" spans="3:21">
      <c r="C31" s="59">
        <v>1.6733808490858384</v>
      </c>
      <c r="D31" s="46">
        <v>0.8387185480544479</v>
      </c>
      <c r="E31" s="46">
        <v>0.92833333333333334</v>
      </c>
      <c r="F31" s="46">
        <v>58.94736842105263</v>
      </c>
      <c r="G31" s="46">
        <f t="shared" si="0"/>
        <v>0.77861038544387917</v>
      </c>
      <c r="H31" s="46">
        <f t="shared" si="1"/>
        <v>49.440251253735873</v>
      </c>
      <c r="I31" s="46">
        <f t="shared" si="2"/>
        <v>54.722807017543857</v>
      </c>
      <c r="J31" s="60">
        <f t="shared" si="3"/>
        <v>45.89703324721814</v>
      </c>
      <c r="L31" s="49"/>
      <c r="U31" s="50"/>
    </row>
    <row r="32" spans="3:21" ht="18">
      <c r="C32" s="59">
        <v>9.2542188350571575</v>
      </c>
      <c r="D32" s="46">
        <v>1.2845370819195348</v>
      </c>
      <c r="E32" s="46">
        <v>0.29303030303030303</v>
      </c>
      <c r="F32" s="46">
        <v>11.764705882352942</v>
      </c>
      <c r="G32" s="46">
        <f t="shared" si="0"/>
        <v>0.37640829036854245</v>
      </c>
      <c r="H32" s="46">
        <f t="shared" si="1"/>
        <v>15.112200963759234</v>
      </c>
      <c r="I32" s="46">
        <f t="shared" si="2"/>
        <v>3.4474153297682713</v>
      </c>
      <c r="J32" s="60">
        <f t="shared" si="3"/>
        <v>4.4283328278652059</v>
      </c>
      <c r="L32" s="68" t="s">
        <v>79</v>
      </c>
      <c r="U32" s="50"/>
    </row>
    <row r="33" spans="3:21">
      <c r="C33" s="59">
        <v>17.171230235248746</v>
      </c>
      <c r="D33" s="46">
        <v>0.9770778364116095</v>
      </c>
      <c r="E33" s="46">
        <v>0.56282828282828279</v>
      </c>
      <c r="F33" s="46">
        <v>0</v>
      </c>
      <c r="G33" s="46">
        <f t="shared" si="0"/>
        <v>0.54992704085711996</v>
      </c>
      <c r="H33" s="46">
        <f t="shared" si="1"/>
        <v>0</v>
      </c>
      <c r="I33" s="46">
        <f t="shared" si="2"/>
        <v>0</v>
      </c>
      <c r="J33" s="60">
        <f t="shared" si="3"/>
        <v>0</v>
      </c>
      <c r="L33" s="67"/>
      <c r="U33" s="50"/>
    </row>
    <row r="34" spans="3:21">
      <c r="C34" s="59">
        <v>22.330291787827136</v>
      </c>
      <c r="D34" s="46">
        <v>0.9880493083654841</v>
      </c>
      <c r="E34" s="46">
        <v>0.46557894736842109</v>
      </c>
      <c r="F34" s="46">
        <v>-0.84507042253521125</v>
      </c>
      <c r="G34" s="46">
        <f t="shared" si="0"/>
        <v>0.46001495693689859</v>
      </c>
      <c r="H34" s="46">
        <f t="shared" si="1"/>
        <v>-0.83497124650604293</v>
      </c>
      <c r="I34" s="46">
        <f t="shared" si="2"/>
        <v>-0.39344699777613051</v>
      </c>
      <c r="J34" s="60">
        <f t="shared" si="3"/>
        <v>-0.38874503403118188</v>
      </c>
      <c r="L34" s="86" t="s">
        <v>80</v>
      </c>
      <c r="M34" s="87"/>
      <c r="N34" s="87"/>
      <c r="O34" s="87"/>
      <c r="P34" s="87"/>
      <c r="Q34" s="87"/>
      <c r="R34" s="87"/>
      <c r="S34" s="87"/>
      <c r="T34" s="87"/>
      <c r="U34" s="98"/>
    </row>
    <row r="35" spans="3:21">
      <c r="C35" s="59">
        <v>6.3912272928666374</v>
      </c>
      <c r="D35" s="46">
        <v>0.89872105081230558</v>
      </c>
      <c r="E35" s="46">
        <v>0.58799999999999997</v>
      </c>
      <c r="F35" s="46">
        <v>20.338983050847457</v>
      </c>
      <c r="G35" s="46">
        <f t="shared" si="0"/>
        <v>0.52844797787763564</v>
      </c>
      <c r="H35" s="46">
        <f t="shared" si="1"/>
        <v>18.279072219911299</v>
      </c>
      <c r="I35" s="46">
        <f t="shared" si="2"/>
        <v>11.959322033898303</v>
      </c>
      <c r="J35" s="60">
        <f t="shared" si="3"/>
        <v>10.748094465307844</v>
      </c>
      <c r="L35" s="67"/>
      <c r="U35" s="50"/>
    </row>
    <row r="36" spans="3:21" ht="28.8" customHeight="1">
      <c r="C36" s="59">
        <v>6.8382677861246135</v>
      </c>
      <c r="D36" s="46">
        <v>0.90627347858752816</v>
      </c>
      <c r="E36" s="46">
        <v>0.45758241758241758</v>
      </c>
      <c r="F36" s="46">
        <v>24.472573839662449</v>
      </c>
      <c r="G36" s="46">
        <f t="shared" si="0"/>
        <v>0.41469480932290848</v>
      </c>
      <c r="H36" s="46">
        <f t="shared" si="1"/>
        <v>22.178844623661028</v>
      </c>
      <c r="I36" s="46">
        <f t="shared" si="2"/>
        <v>11.19821950201697</v>
      </c>
      <c r="J36" s="60">
        <f t="shared" si="3"/>
        <v>10.148649342079617</v>
      </c>
      <c r="L36" s="84" t="s">
        <v>81</v>
      </c>
      <c r="M36" s="85"/>
      <c r="N36" s="85"/>
      <c r="O36" s="85"/>
      <c r="P36" s="85"/>
      <c r="Q36" s="85"/>
      <c r="R36" s="85"/>
      <c r="S36" s="85"/>
      <c r="T36" s="85"/>
      <c r="U36" s="88"/>
    </row>
    <row r="37" spans="3:21" ht="15" thickBot="1">
      <c r="C37" s="61">
        <v>10.148731408573926</v>
      </c>
      <c r="D37" s="62">
        <v>0.982773851590106</v>
      </c>
      <c r="E37" s="62">
        <v>0.33077777777777778</v>
      </c>
      <c r="F37" s="62">
        <v>-8.1395348837209305</v>
      </c>
      <c r="G37" s="62">
        <f t="shared" si="0"/>
        <v>0.32507975068708284</v>
      </c>
      <c r="H37" s="62">
        <f t="shared" si="1"/>
        <v>-7.9993220478264444</v>
      </c>
      <c r="I37" s="62">
        <f t="shared" si="2"/>
        <v>-2.6923772609819121</v>
      </c>
      <c r="J37" s="63">
        <f t="shared" si="3"/>
        <v>-2.6459979707088137</v>
      </c>
      <c r="L37" s="49"/>
      <c r="U37" s="50"/>
    </row>
    <row r="38" spans="3:21" ht="18">
      <c r="L38" s="68" t="s">
        <v>82</v>
      </c>
      <c r="U38" s="50"/>
    </row>
    <row r="39" spans="3:21">
      <c r="L39" s="67"/>
      <c r="U39" s="50"/>
    </row>
    <row r="40" spans="3:21">
      <c r="L40" s="84" t="s">
        <v>83</v>
      </c>
      <c r="M40" s="85"/>
      <c r="N40" s="85"/>
      <c r="O40" s="85"/>
      <c r="P40" s="85"/>
      <c r="Q40" s="85"/>
      <c r="R40" s="85"/>
      <c r="S40" s="85"/>
      <c r="T40" s="85"/>
      <c r="U40" s="88"/>
    </row>
    <row r="41" spans="3:21">
      <c r="L41" s="67"/>
      <c r="U41" s="50"/>
    </row>
    <row r="42" spans="3:21" ht="30" customHeight="1">
      <c r="L42" s="84" t="s">
        <v>84</v>
      </c>
      <c r="M42" s="85"/>
      <c r="N42" s="85"/>
      <c r="O42" s="85"/>
      <c r="P42" s="85"/>
      <c r="Q42" s="85"/>
      <c r="R42" s="85"/>
      <c r="S42" s="85"/>
      <c r="T42" s="85"/>
      <c r="U42" s="88"/>
    </row>
    <row r="43" spans="3:21">
      <c r="L43" s="49"/>
      <c r="U43" s="50"/>
    </row>
    <row r="44" spans="3:21">
      <c r="L44" s="49"/>
      <c r="U44" s="50"/>
    </row>
    <row r="45" spans="3:21">
      <c r="L45" s="49"/>
      <c r="U45" s="50"/>
    </row>
    <row r="46" spans="3:21" ht="18">
      <c r="L46" s="68" t="s">
        <v>85</v>
      </c>
      <c r="U46" s="50"/>
    </row>
    <row r="47" spans="3:21">
      <c r="L47" s="49"/>
      <c r="U47" s="50"/>
    </row>
    <row r="48" spans="3:21">
      <c r="L48" s="89" t="s">
        <v>86</v>
      </c>
      <c r="M48" s="90"/>
      <c r="N48" s="90"/>
      <c r="O48" s="90"/>
      <c r="P48" s="90"/>
      <c r="Q48" s="90"/>
      <c r="R48" s="90"/>
      <c r="S48" s="90"/>
      <c r="T48" s="90"/>
      <c r="U48" s="91"/>
    </row>
    <row r="49" spans="2:26">
      <c r="L49" s="67"/>
      <c r="U49" s="50"/>
    </row>
    <row r="50" spans="2:26" ht="42.6" customHeight="1">
      <c r="L50" s="84" t="s">
        <v>87</v>
      </c>
      <c r="M50" s="85"/>
      <c r="N50" s="85"/>
      <c r="O50" s="85"/>
      <c r="P50" s="85"/>
      <c r="Q50" s="85"/>
      <c r="R50" s="85"/>
      <c r="S50" s="85"/>
      <c r="T50" s="85"/>
      <c r="U50" s="88"/>
    </row>
    <row r="51" spans="2:26">
      <c r="L51" s="67"/>
      <c r="U51" s="50"/>
    </row>
    <row r="52" spans="2:26" ht="45.6" customHeight="1" thickBot="1">
      <c r="L52" s="92" t="s">
        <v>88</v>
      </c>
      <c r="M52" s="93"/>
      <c r="N52" s="93"/>
      <c r="O52" s="93"/>
      <c r="P52" s="93"/>
      <c r="Q52" s="93"/>
      <c r="R52" s="93"/>
      <c r="S52" s="93"/>
      <c r="T52" s="93"/>
      <c r="U52" s="94"/>
    </row>
    <row r="53" spans="2:26">
      <c r="B53" s="75" t="s">
        <v>90</v>
      </c>
      <c r="C53" s="76"/>
      <c r="D53" s="76"/>
      <c r="E53" s="76"/>
      <c r="F53" s="76"/>
      <c r="G53" s="76"/>
      <c r="H53" s="76"/>
      <c r="I53" s="77"/>
    </row>
    <row r="54" spans="2:26">
      <c r="B54" s="49"/>
      <c r="I54" s="50"/>
    </row>
    <row r="55" spans="2:26">
      <c r="B55" s="49"/>
      <c r="I55" s="50"/>
    </row>
    <row r="56" spans="2:26">
      <c r="B56" s="49"/>
      <c r="I56" s="50"/>
    </row>
    <row r="57" spans="2:26">
      <c r="B57" s="49"/>
      <c r="I57" s="50"/>
    </row>
    <row r="58" spans="2:26">
      <c r="B58" s="49"/>
      <c r="I58" s="50"/>
    </row>
    <row r="59" spans="2:26">
      <c r="B59" s="49"/>
      <c r="I59" s="50"/>
    </row>
    <row r="60" spans="2:26">
      <c r="B60" s="49"/>
      <c r="I60" s="50"/>
    </row>
    <row r="61" spans="2:26" ht="15" thickBot="1">
      <c r="B61" s="49"/>
      <c r="I61" s="50"/>
    </row>
    <row r="62" spans="2:26" ht="18">
      <c r="B62" s="49"/>
      <c r="I62" s="50"/>
      <c r="K62" s="78" t="s">
        <v>91</v>
      </c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65"/>
      <c r="Z62" s="66"/>
    </row>
    <row r="63" spans="2:26">
      <c r="B63" s="49"/>
      <c r="I63" s="50"/>
      <c r="K63" s="49"/>
      <c r="Z63" s="50"/>
    </row>
    <row r="64" spans="2:26" ht="18">
      <c r="B64" s="49"/>
      <c r="I64" s="50"/>
      <c r="K64" s="80" t="s">
        <v>92</v>
      </c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Z64" s="50"/>
    </row>
    <row r="65" spans="2:26">
      <c r="B65" s="49"/>
      <c r="I65" s="50"/>
      <c r="K65" s="67"/>
      <c r="Z65" s="50"/>
    </row>
    <row r="66" spans="2:26">
      <c r="B66" s="49"/>
      <c r="I66" s="50"/>
      <c r="K66" s="82" t="s">
        <v>93</v>
      </c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Z66" s="50"/>
    </row>
    <row r="67" spans="2:26">
      <c r="B67" s="49"/>
      <c r="I67" s="50"/>
      <c r="K67" s="67"/>
      <c r="Z67" s="50"/>
    </row>
    <row r="68" spans="2:26" ht="30.6" customHeight="1">
      <c r="B68" s="49"/>
      <c r="I68" s="50"/>
      <c r="K68" s="84" t="s">
        <v>94</v>
      </c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Z68" s="50"/>
    </row>
    <row r="69" spans="2:26">
      <c r="B69" s="49"/>
      <c r="I69" s="50"/>
      <c r="K69" s="67"/>
      <c r="Z69" s="50"/>
    </row>
    <row r="70" spans="2:26" ht="17.399999999999999" customHeight="1">
      <c r="B70" s="49"/>
      <c r="I70" s="50"/>
      <c r="K70" s="72" t="s">
        <v>95</v>
      </c>
      <c r="Z70" s="50"/>
    </row>
    <row r="71" spans="2:26">
      <c r="B71" s="49"/>
      <c r="I71" s="50"/>
      <c r="K71" s="67"/>
      <c r="Z71" s="50"/>
    </row>
    <row r="72" spans="2:26" ht="27" customHeight="1">
      <c r="B72" s="49"/>
      <c r="I72" s="50"/>
      <c r="K72" s="86" t="s">
        <v>96</v>
      </c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50"/>
    </row>
    <row r="73" spans="2:26">
      <c r="B73" s="49"/>
      <c r="I73" s="50"/>
      <c r="K73" s="67"/>
      <c r="Z73" s="50"/>
    </row>
    <row r="74" spans="2:26" ht="28.8" customHeight="1" thickBot="1">
      <c r="B74" s="49"/>
      <c r="I74" s="50"/>
      <c r="K74" s="73" t="s">
        <v>97</v>
      </c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1"/>
    </row>
    <row r="75" spans="2:26">
      <c r="B75" s="49"/>
      <c r="I75" s="50"/>
    </row>
    <row r="76" spans="2:26">
      <c r="B76" s="49"/>
      <c r="I76" s="50"/>
    </row>
    <row r="77" spans="2:26">
      <c r="B77" s="49"/>
      <c r="I77" s="50"/>
    </row>
    <row r="78" spans="2:26">
      <c r="B78" s="49"/>
      <c r="I78" s="50"/>
    </row>
    <row r="79" spans="2:26">
      <c r="B79" s="49"/>
      <c r="I79" s="50"/>
    </row>
    <row r="80" spans="2:26">
      <c r="B80" s="49"/>
      <c r="I80" s="50"/>
    </row>
    <row r="81" spans="2:9">
      <c r="B81" s="49"/>
      <c r="I81" s="50"/>
    </row>
    <row r="82" spans="2:9">
      <c r="B82" s="49"/>
      <c r="I82" s="50"/>
    </row>
    <row r="83" spans="2:9">
      <c r="B83" s="49"/>
      <c r="I83" s="50"/>
    </row>
    <row r="84" spans="2:9">
      <c r="B84" s="49"/>
      <c r="I84" s="50"/>
    </row>
    <row r="85" spans="2:9">
      <c r="B85" s="49"/>
      <c r="I85" s="50"/>
    </row>
    <row r="86" spans="2:9">
      <c r="B86" s="49"/>
      <c r="I86" s="50"/>
    </row>
    <row r="87" spans="2:9">
      <c r="B87" s="49"/>
      <c r="I87" s="50"/>
    </row>
    <row r="88" spans="2:9">
      <c r="B88" s="49"/>
      <c r="I88" s="50"/>
    </row>
    <row r="89" spans="2:9">
      <c r="B89" s="49"/>
      <c r="I89" s="50"/>
    </row>
    <row r="90" spans="2:9">
      <c r="B90" s="49"/>
      <c r="I90" s="50"/>
    </row>
    <row r="91" spans="2:9">
      <c r="B91" s="49"/>
      <c r="I91" s="50"/>
    </row>
    <row r="92" spans="2:9">
      <c r="B92" s="49"/>
      <c r="I92" s="50"/>
    </row>
    <row r="93" spans="2:9">
      <c r="B93" s="49"/>
      <c r="I93" s="50"/>
    </row>
    <row r="94" spans="2:9" ht="15" thickBot="1">
      <c r="B94" s="69"/>
      <c r="C94" s="70"/>
      <c r="D94" s="70"/>
      <c r="E94" s="70"/>
      <c r="F94" s="70"/>
      <c r="G94" s="70"/>
      <c r="H94" s="70"/>
      <c r="I94" s="71"/>
    </row>
  </sheetData>
  <mergeCells count="26">
    <mergeCell ref="L34:U34"/>
    <mergeCell ref="L36:U36"/>
    <mergeCell ref="L30:U30"/>
    <mergeCell ref="C4:J4"/>
    <mergeCell ref="C5:C6"/>
    <mergeCell ref="D5:J5"/>
    <mergeCell ref="D6:F6"/>
    <mergeCell ref="G6:I6"/>
    <mergeCell ref="L18:U18"/>
    <mergeCell ref="L4:S4"/>
    <mergeCell ref="L20:U20"/>
    <mergeCell ref="L22:U22"/>
    <mergeCell ref="L26:U26"/>
    <mergeCell ref="L28:U28"/>
    <mergeCell ref="L40:U40"/>
    <mergeCell ref="L42:U42"/>
    <mergeCell ref="L48:U48"/>
    <mergeCell ref="L50:U50"/>
    <mergeCell ref="L52:U52"/>
    <mergeCell ref="K74:Y74"/>
    <mergeCell ref="B53:I53"/>
    <mergeCell ref="K62:X62"/>
    <mergeCell ref="K64:X64"/>
    <mergeCell ref="K66:X66"/>
    <mergeCell ref="K68:X68"/>
    <mergeCell ref="K72:Y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4, Raw</vt:lpstr>
      <vt:lpstr>Variable Data &amp;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Nadpurohit</dc:creator>
  <cp:lastModifiedBy>Rajan Nadpurohit</cp:lastModifiedBy>
  <dcterms:created xsi:type="dcterms:W3CDTF">2026-04-05T10:18:22Z</dcterms:created>
  <dcterms:modified xsi:type="dcterms:W3CDTF">2026-04-07T12:57:06Z</dcterms:modified>
</cp:coreProperties>
</file>