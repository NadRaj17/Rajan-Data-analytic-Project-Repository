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BA\Walsh MS\MS Term 3\QM 640, Capstone Project\Data collation and compilation\"/>
    </mc:Choice>
  </mc:AlternateContent>
  <xr:revisionPtr revIDLastSave="0" documentId="13_ncr:1_{6AF844A3-2F05-44D3-8EF9-3E56CCC95393}" xr6:coauthVersionLast="47" xr6:coauthVersionMax="47" xr10:uidLastSave="{00000000-0000-0000-0000-000000000000}"/>
  <bookViews>
    <workbookView xWindow="-108" yWindow="-108" windowWidth="23256" windowHeight="14616" activeTab="1" xr2:uid="{A1D19C9E-8643-4E19-8662-7CD310BBF1EE}"/>
  </bookViews>
  <sheets>
    <sheet name="Batch 3, Raw" sheetId="1" r:id="rId1"/>
    <sheet name="Variable Data&amp;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7" i="2"/>
  <c r="AC27" i="1" l="1"/>
  <c r="AC28" i="1"/>
  <c r="AC29" i="1"/>
  <c r="AC30" i="1"/>
  <c r="AC31" i="1"/>
  <c r="L62" i="1"/>
  <c r="M62" i="1"/>
  <c r="L61" i="1"/>
  <c r="M61" i="1"/>
  <c r="L60" i="1"/>
  <c r="M60" i="1"/>
  <c r="L59" i="1"/>
  <c r="M59" i="1"/>
  <c r="L58" i="1"/>
  <c r="M58" i="1"/>
  <c r="I58" i="1"/>
  <c r="I59" i="1"/>
  <c r="I60" i="1"/>
  <c r="I61" i="1"/>
  <c r="I62" i="1"/>
  <c r="AA27" i="1"/>
  <c r="AA28" i="1"/>
  <c r="AA29" i="1"/>
  <c r="AA30" i="1"/>
  <c r="AA31" i="1"/>
  <c r="Z27" i="1"/>
  <c r="Z28" i="1"/>
  <c r="Z29" i="1"/>
  <c r="Z30" i="1"/>
  <c r="Z31" i="1"/>
  <c r="W27" i="1"/>
  <c r="W28" i="1"/>
  <c r="W29" i="1"/>
  <c r="W30" i="1"/>
  <c r="W31" i="1"/>
  <c r="U27" i="1"/>
  <c r="U28" i="1"/>
  <c r="U29" i="1"/>
  <c r="U30" i="1"/>
  <c r="U31" i="1"/>
  <c r="T27" i="1"/>
  <c r="T28" i="1"/>
  <c r="T29" i="1"/>
  <c r="T30" i="1"/>
  <c r="T31" i="1"/>
  <c r="S27" i="1"/>
  <c r="S28" i="1"/>
  <c r="S29" i="1"/>
  <c r="S30" i="1"/>
  <c r="S31" i="1"/>
  <c r="R27" i="1"/>
  <c r="R28" i="1"/>
  <c r="R29" i="1"/>
  <c r="R30" i="1"/>
  <c r="R31" i="1"/>
  <c r="L27" i="1"/>
  <c r="L28" i="1"/>
  <c r="L29" i="1"/>
  <c r="L30" i="1"/>
  <c r="L31" i="1"/>
  <c r="F28" i="1"/>
  <c r="F29" i="1"/>
  <c r="F30" i="1"/>
  <c r="F27" i="1"/>
  <c r="L57" i="1"/>
  <c r="L56" i="1"/>
  <c r="L55" i="1"/>
  <c r="L54" i="1"/>
  <c r="L53" i="1"/>
  <c r="I53" i="1"/>
  <c r="I54" i="1"/>
  <c r="I55" i="1"/>
  <c r="I56" i="1"/>
  <c r="I57" i="1"/>
  <c r="Z26" i="1"/>
  <c r="Z25" i="1"/>
  <c r="Z24" i="1"/>
  <c r="Z23" i="1"/>
  <c r="Z22" i="1"/>
  <c r="R22" i="1"/>
  <c r="R23" i="1"/>
  <c r="W23" i="1" s="1"/>
  <c r="R24" i="1"/>
  <c r="W24" i="1" s="1"/>
  <c r="AA24" i="1" s="1"/>
  <c r="R25" i="1"/>
  <c r="W25" i="1" s="1"/>
  <c r="AA25" i="1" s="1"/>
  <c r="R26" i="1"/>
  <c r="W26" i="1" s="1"/>
  <c r="L22" i="1"/>
  <c r="L23" i="1"/>
  <c r="L24" i="1"/>
  <c r="L25" i="1"/>
  <c r="L26" i="1"/>
  <c r="F23" i="1"/>
  <c r="F24" i="1"/>
  <c r="F25" i="1"/>
  <c r="F22" i="1"/>
  <c r="L49" i="1"/>
  <c r="L50" i="1"/>
  <c r="L51" i="1"/>
  <c r="L52" i="1"/>
  <c r="L48" i="1"/>
  <c r="I48" i="1"/>
  <c r="M48" i="1" s="1"/>
  <c r="I49" i="1"/>
  <c r="I50" i="1"/>
  <c r="I51" i="1"/>
  <c r="I52" i="1"/>
  <c r="Z18" i="1"/>
  <c r="Z19" i="1"/>
  <c r="Z20" i="1"/>
  <c r="Z21" i="1"/>
  <c r="Z17" i="1"/>
  <c r="R17" i="1"/>
  <c r="R18" i="1"/>
  <c r="W18" i="1" s="1"/>
  <c r="R19" i="1"/>
  <c r="W19" i="1" s="1"/>
  <c r="R20" i="1"/>
  <c r="W20" i="1" s="1"/>
  <c r="R21" i="1"/>
  <c r="W21" i="1" s="1"/>
  <c r="L18" i="1"/>
  <c r="L19" i="1"/>
  <c r="L20" i="1"/>
  <c r="L21" i="1"/>
  <c r="L17" i="1"/>
  <c r="F18" i="1"/>
  <c r="F19" i="1"/>
  <c r="F20" i="1"/>
  <c r="F17" i="1"/>
  <c r="L47" i="1"/>
  <c r="L46" i="1"/>
  <c r="L45" i="1"/>
  <c r="L44" i="1"/>
  <c r="L43" i="1"/>
  <c r="I43" i="1"/>
  <c r="I44" i="1"/>
  <c r="I45" i="1"/>
  <c r="I46" i="1"/>
  <c r="I47" i="1"/>
  <c r="R15" i="1"/>
  <c r="W15" i="1" s="1"/>
  <c r="AA15" i="1" s="1"/>
  <c r="R16" i="1"/>
  <c r="W16" i="1" s="1"/>
  <c r="AA16" i="1" s="1"/>
  <c r="R14" i="1"/>
  <c r="W14" i="1" s="1"/>
  <c r="AA14" i="1" s="1"/>
  <c r="R13" i="1"/>
  <c r="W13" i="1" s="1"/>
  <c r="AA13" i="1" s="1"/>
  <c r="R12" i="1"/>
  <c r="W12" i="1" s="1"/>
  <c r="AA12" i="1" s="1"/>
  <c r="L13" i="1"/>
  <c r="L14" i="1"/>
  <c r="L15" i="1"/>
  <c r="L16" i="1"/>
  <c r="L12" i="1"/>
  <c r="F13" i="1"/>
  <c r="F14" i="1"/>
  <c r="F15" i="1"/>
  <c r="F12" i="1"/>
  <c r="M53" i="1" l="1"/>
  <c r="AA20" i="1"/>
  <c r="M52" i="1"/>
  <c r="AA21" i="1"/>
  <c r="M49" i="1"/>
  <c r="AA19" i="1"/>
  <c r="AA18" i="1"/>
  <c r="T26" i="1"/>
  <c r="M51" i="1"/>
  <c r="S22" i="1"/>
  <c r="T18" i="1"/>
  <c r="S26" i="1"/>
  <c r="T25" i="1"/>
  <c r="T24" i="1"/>
  <c r="T23" i="1"/>
  <c r="T22" i="1"/>
  <c r="W22" i="1"/>
  <c r="AA22" i="1" s="1"/>
  <c r="M50" i="1"/>
  <c r="S25" i="1"/>
  <c r="U25" i="1" s="1"/>
  <c r="AC25" i="1" s="1"/>
  <c r="S24" i="1"/>
  <c r="U24" i="1" s="1"/>
  <c r="AC24" i="1" s="1"/>
  <c r="M55" i="1"/>
  <c r="S23" i="1"/>
  <c r="U23" i="1" s="1"/>
  <c r="AC23" i="1" s="1"/>
  <c r="T17" i="1"/>
  <c r="M56" i="1"/>
  <c r="W17" i="1"/>
  <c r="AA17" i="1"/>
  <c r="M54" i="1"/>
  <c r="S21" i="1"/>
  <c r="S20" i="1"/>
  <c r="S19" i="1"/>
  <c r="S18" i="1"/>
  <c r="S17" i="1"/>
  <c r="T21" i="1"/>
  <c r="T20" i="1"/>
  <c r="T19" i="1"/>
  <c r="M57" i="1"/>
  <c r="AA23" i="1"/>
  <c r="S14" i="1"/>
  <c r="AA26" i="1"/>
  <c r="S12" i="1"/>
  <c r="M45" i="1"/>
  <c r="M44" i="1"/>
  <c r="T12" i="1"/>
  <c r="U12" i="1" s="1"/>
  <c r="AC12" i="1" s="1"/>
  <c r="T14" i="1"/>
  <c r="T13" i="1"/>
  <c r="S13" i="1"/>
  <c r="M43" i="1"/>
  <c r="S16" i="1"/>
  <c r="S15" i="1"/>
  <c r="T16" i="1"/>
  <c r="M46" i="1"/>
  <c r="T15" i="1"/>
  <c r="M47" i="1"/>
  <c r="L39" i="1"/>
  <c r="L40" i="1"/>
  <c r="L41" i="1"/>
  <c r="L42" i="1"/>
  <c r="L38" i="1"/>
  <c r="I39" i="1"/>
  <c r="I40" i="1"/>
  <c r="I41" i="1"/>
  <c r="I42" i="1"/>
  <c r="I38" i="1"/>
  <c r="Z8" i="1"/>
  <c r="Z9" i="1"/>
  <c r="Z10" i="1"/>
  <c r="Z11" i="1"/>
  <c r="Z7" i="1"/>
  <c r="R8" i="1"/>
  <c r="W8" i="1" s="1"/>
  <c r="R9" i="1"/>
  <c r="W9" i="1" s="1"/>
  <c r="R10" i="1"/>
  <c r="W10" i="1" s="1"/>
  <c r="R11" i="1"/>
  <c r="W11" i="1" s="1"/>
  <c r="R7" i="1"/>
  <c r="W7" i="1" s="1"/>
  <c r="L8" i="1"/>
  <c r="L9" i="1"/>
  <c r="L10" i="1"/>
  <c r="L11" i="1"/>
  <c r="L7" i="1"/>
  <c r="F8" i="1"/>
  <c r="F9" i="1"/>
  <c r="F10" i="1"/>
  <c r="F7" i="1"/>
  <c r="U26" i="1" l="1"/>
  <c r="AC26" i="1" s="1"/>
  <c r="U22" i="1"/>
  <c r="AC22" i="1" s="1"/>
  <c r="U17" i="1"/>
  <c r="AC17" i="1" s="1"/>
  <c r="U18" i="1"/>
  <c r="AC18" i="1" s="1"/>
  <c r="U19" i="1"/>
  <c r="AC19" i="1" s="1"/>
  <c r="U20" i="1"/>
  <c r="AC20" i="1" s="1"/>
  <c r="U21" i="1"/>
  <c r="AC21" i="1" s="1"/>
  <c r="M42" i="1"/>
  <c r="U14" i="1"/>
  <c r="AC14" i="1" s="1"/>
  <c r="U15" i="1"/>
  <c r="AC15" i="1" s="1"/>
  <c r="U16" i="1"/>
  <c r="AC16" i="1" s="1"/>
  <c r="U13" i="1"/>
  <c r="AC13" i="1" s="1"/>
  <c r="M39" i="1"/>
  <c r="S7" i="1"/>
  <c r="T10" i="1"/>
  <c r="S11" i="1"/>
  <c r="S10" i="1"/>
  <c r="T9" i="1"/>
  <c r="AA9" i="1"/>
  <c r="AA8" i="1"/>
  <c r="M38" i="1"/>
  <c r="S9" i="1"/>
  <c r="T8" i="1"/>
  <c r="M40" i="1"/>
  <c r="M41" i="1"/>
  <c r="AA11" i="1"/>
  <c r="AA7" i="1"/>
  <c r="AA10" i="1"/>
  <c r="S8" i="1"/>
  <c r="T7" i="1"/>
  <c r="T11" i="1"/>
  <c r="U8" i="1" l="1"/>
  <c r="AC8" i="1" s="1"/>
  <c r="U10" i="1"/>
  <c r="AC10" i="1" s="1"/>
  <c r="U11" i="1"/>
  <c r="AC11" i="1" s="1"/>
  <c r="U7" i="1"/>
  <c r="AC7" i="1" s="1"/>
  <c r="U9" i="1"/>
  <c r="AC9" i="1" s="1"/>
</calcChain>
</file>

<file path=xl/sharedStrings.xml><?xml version="1.0" encoding="utf-8"?>
<sst xmlns="http://schemas.openxmlformats.org/spreadsheetml/2006/main" count="206" uniqueCount="131">
  <si>
    <t>Table 1: Financial Data and Computed Variables</t>
  </si>
  <si>
    <t>N</t>
  </si>
  <si>
    <t>Company Name</t>
  </si>
  <si>
    <t>BSE No/ NSE</t>
  </si>
  <si>
    <t>Year End</t>
  </si>
  <si>
    <t>Revenue</t>
  </si>
  <si>
    <t>Revenue Growth Rate in %</t>
  </si>
  <si>
    <t>Inventories</t>
  </si>
  <si>
    <t>Trade Receivables</t>
  </si>
  <si>
    <t>Cash Equivalents</t>
  </si>
  <si>
    <t>Loans &amp; Advances</t>
  </si>
  <si>
    <t>Other Asset Items</t>
  </si>
  <si>
    <t>Total Current Assets</t>
  </si>
  <si>
    <t>Trade Payables</t>
  </si>
  <si>
    <t>Advance from Customers</t>
  </si>
  <si>
    <t>Other Liability Items</t>
  </si>
  <si>
    <t>Short‑term Borrowings</t>
  </si>
  <si>
    <t>Lease Liabilities</t>
  </si>
  <si>
    <t>Total Current Liabilities</t>
  </si>
  <si>
    <t>Current Ratio</t>
  </si>
  <si>
    <t>Quick Ratio</t>
  </si>
  <si>
    <t>Liquidity Index</t>
  </si>
  <si>
    <t>Total assets</t>
  </si>
  <si>
    <t>Capital Employed</t>
  </si>
  <si>
    <t>Operating Profit</t>
  </si>
  <si>
    <t>Other Income (normal)</t>
  </si>
  <si>
    <t>EBIT</t>
  </si>
  <si>
    <t>ROCE%</t>
  </si>
  <si>
    <t>D/E Ratio</t>
  </si>
  <si>
    <t>Interaction LI*D/E</t>
  </si>
  <si>
    <t> 532933</t>
  </si>
  <si>
    <t>Porwal Auto Components Ltd</t>
  </si>
  <si>
    <t>Table 2: D/E</t>
  </si>
  <si>
    <t>BSE No / NSE</t>
  </si>
  <si>
    <t>Long‑term Borrowings</t>
  </si>
  <si>
    <t>Other Borrowings</t>
  </si>
  <si>
    <t>Total Debt</t>
  </si>
  <si>
    <t>Equity Capital</t>
  </si>
  <si>
    <t>Reserves</t>
  </si>
  <si>
    <t>Total Equity</t>
  </si>
  <si>
    <t>G S Auto International Ltd</t>
  </si>
  <si>
    <t> 504646</t>
  </si>
  <si>
    <t>Bhagwati Autocast Ltd</t>
  </si>
  <si>
    <t> 504647</t>
  </si>
  <si>
    <t> 504648</t>
  </si>
  <si>
    <t> 504649</t>
  </si>
  <si>
    <t> 504650</t>
  </si>
  <si>
    <t>Indag Rubber Ltd</t>
  </si>
  <si>
    <t>Pradeep Metals Ltd</t>
  </si>
  <si>
    <t>Dependant Variable</t>
  </si>
  <si>
    <t>Independent (Predictor) Variables</t>
  </si>
  <si>
    <t>Main Effects</t>
  </si>
  <si>
    <t>2 way Interactions</t>
  </si>
  <si>
    <t>3 Way Interaction</t>
  </si>
  <si>
    <t>LI</t>
  </si>
  <si>
    <t>D/E</t>
  </si>
  <si>
    <t>Revenue Growth %</t>
  </si>
  <si>
    <t>LI*D/E</t>
  </si>
  <si>
    <t>LI*Revenue Growth %</t>
  </si>
  <si>
    <t>D/E*Revenue Growth %</t>
  </si>
  <si>
    <t>LI*D/E*Revenue Growth %</t>
  </si>
  <si>
    <t>Batch 3 data</t>
  </si>
  <si>
    <t>Statistical Summary of Variables</t>
  </si>
  <si>
    <t>Variable</t>
  </si>
  <si>
    <t>Mean</t>
  </si>
  <si>
    <t>Median</t>
  </si>
  <si>
    <t>Std Dev</t>
  </si>
  <si>
    <t>Min</t>
  </si>
  <si>
    <t>Max</t>
  </si>
  <si>
    <r>
      <t>LI</t>
    </r>
    <r>
      <rPr>
        <sz val="11"/>
        <color theme="1"/>
        <rFont val="Aptos Narrow"/>
        <family val="2"/>
        <scheme val="minor"/>
      </rPr>
      <t>D/E*</t>
    </r>
  </si>
  <si>
    <r>
      <t>LI</t>
    </r>
    <r>
      <rPr>
        <sz val="11"/>
        <color theme="1"/>
        <rFont val="Aptos Narrow"/>
        <family val="2"/>
        <scheme val="minor"/>
      </rPr>
      <t>Revenue Growth %*</t>
    </r>
  </si>
  <si>
    <r>
      <t>D/E</t>
    </r>
    <r>
      <rPr>
        <sz val="11"/>
        <color theme="1"/>
        <rFont val="Aptos Narrow"/>
        <family val="2"/>
        <scheme val="minor"/>
      </rPr>
      <t>Revenue Growth %*</t>
    </r>
  </si>
  <si>
    <r>
      <t>LI</t>
    </r>
    <r>
      <rPr>
        <sz val="11"/>
        <color theme="1"/>
        <rFont val="Aptos Narrow"/>
        <family val="2"/>
        <scheme val="minor"/>
      </rPr>
      <t>D/ERevenue**</t>
    </r>
  </si>
  <si>
    <t>Key Insights</t>
  </si>
  <si>
    <r>
      <t>ROCE%</t>
    </r>
    <r>
      <rPr>
        <sz val="11"/>
        <color theme="1"/>
        <rFont val="Aptos Narrow"/>
        <family val="2"/>
        <scheme val="minor"/>
      </rPr>
      <t xml:space="preserve">: Average return on capital employed is </t>
    </r>
    <r>
      <rPr>
        <b/>
        <sz val="11"/>
        <color theme="1"/>
        <rFont val="Aptos Narrow"/>
        <family val="2"/>
        <scheme val="minor"/>
      </rPr>
      <t>18.07%</t>
    </r>
    <r>
      <rPr>
        <sz val="11"/>
        <color theme="1"/>
        <rFont val="Aptos Narrow"/>
        <family val="2"/>
        <scheme val="minor"/>
      </rPr>
      <t>, with a wide spread (std dev ~8.56). Some firms are highly profitable (max 35.27%), while others are much lower (min 3.58%).</t>
    </r>
  </si>
  <si>
    <r>
      <t>Leverage Index (LI)</t>
    </r>
    <r>
      <rPr>
        <sz val="11"/>
        <color theme="1"/>
        <rFont val="Aptos Narrow"/>
        <family val="2"/>
        <scheme val="minor"/>
      </rPr>
      <t xml:space="preserve">: Centered around </t>
    </r>
    <r>
      <rPr>
        <b/>
        <sz val="11"/>
        <color theme="1"/>
        <rFont val="Aptos Narrow"/>
        <family val="2"/>
        <scheme val="minor"/>
      </rPr>
      <t>1.16</t>
    </r>
    <r>
      <rPr>
        <sz val="11"/>
        <color theme="1"/>
        <rFont val="Aptos Narrow"/>
        <family val="2"/>
        <scheme val="minor"/>
      </rPr>
      <t xml:space="preserve">, but ranges from </t>
    </r>
    <r>
      <rPr>
        <b/>
        <sz val="11"/>
        <color theme="1"/>
        <rFont val="Aptos Narrow"/>
        <family val="2"/>
        <scheme val="minor"/>
      </rPr>
      <t>0.54 to 2.34</t>
    </r>
    <r>
      <rPr>
        <sz val="11"/>
        <color theme="1"/>
        <rFont val="Aptos Narrow"/>
        <family val="2"/>
        <scheme val="minor"/>
      </rPr>
      <t>, showing significant variation in leverage intensity.</t>
    </r>
  </si>
  <si>
    <r>
      <t>Debt-to-Equity (D/E)</t>
    </r>
    <r>
      <rPr>
        <sz val="11"/>
        <color theme="1"/>
        <rFont val="Aptos Narrow"/>
        <family val="2"/>
        <scheme val="minor"/>
      </rPr>
      <t xml:space="preserve">: Mean of </t>
    </r>
    <r>
      <rPr>
        <b/>
        <sz val="11"/>
        <color theme="1"/>
        <rFont val="Aptos Narrow"/>
        <family val="2"/>
        <scheme val="minor"/>
      </rPr>
      <t>0.52</t>
    </r>
    <r>
      <rPr>
        <sz val="11"/>
        <color theme="1"/>
        <rFont val="Aptos Narrow"/>
        <family val="2"/>
        <scheme val="minor"/>
      </rPr>
      <t>, but highly skewed—some firms have almost no debt (0), while others are heavily leveraged (up to 1.76).</t>
    </r>
  </si>
  <si>
    <r>
      <t>Revenue Growth %</t>
    </r>
    <r>
      <rPr>
        <sz val="11"/>
        <color theme="1"/>
        <rFont val="Aptos Narrow"/>
        <family val="2"/>
        <scheme val="minor"/>
      </rPr>
      <t xml:space="preserve">: Very volatile, with both </t>
    </r>
    <r>
      <rPr>
        <b/>
        <sz val="11"/>
        <color theme="1"/>
        <rFont val="Aptos Narrow"/>
        <family val="2"/>
        <scheme val="minor"/>
      </rPr>
      <t>negative growth (-19.89%)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high expansion (46.81%)</t>
    </r>
    <r>
      <rPr>
        <sz val="11"/>
        <color theme="1"/>
        <rFont val="Aptos Narrow"/>
        <family val="2"/>
        <scheme val="minor"/>
      </rPr>
      <t>. The large standard deviation (20.05) highlights instability.</t>
    </r>
  </si>
  <si>
    <r>
      <t>Interaction Terms (LI</t>
    </r>
    <r>
      <rPr>
        <sz val="11"/>
        <color theme="1"/>
        <rFont val="Aptos Narrow"/>
        <family val="2"/>
        <scheme val="minor"/>
      </rPr>
      <t>D/E, LIRevenue Growth %, etc.)*</t>
    </r>
    <r>
      <rPr>
        <i/>
        <sz val="11"/>
        <color theme="1"/>
        <rFont val="Aptos Narrow"/>
        <family val="2"/>
        <scheme val="minor"/>
      </rPr>
      <t>: These show amplified volatility. For example, LI</t>
    </r>
    <r>
      <rPr>
        <sz val="11"/>
        <color theme="1"/>
        <rFont val="Aptos Narrow"/>
        <family val="2"/>
        <scheme val="minor"/>
      </rPr>
      <t xml:space="preserve">Revenue Growth % swings from </t>
    </r>
    <r>
      <rPr>
        <b/>
        <sz val="11"/>
        <color theme="1"/>
        <rFont val="Aptos Narrow"/>
        <family val="2"/>
        <scheme val="minor"/>
      </rPr>
      <t>-22.83 to 70.98</t>
    </r>
    <r>
      <rPr>
        <sz val="11"/>
        <color theme="1"/>
        <rFont val="Aptos Narrow"/>
        <family val="2"/>
        <scheme val="minor"/>
      </rPr>
      <t>, suggesting leverage magnifies growth outcomes.</t>
    </r>
  </si>
  <si>
    <r>
      <t xml:space="preserve">Companies with </t>
    </r>
    <r>
      <rPr>
        <b/>
        <sz val="11"/>
        <color theme="1"/>
        <rFont val="Aptos Narrow"/>
        <family val="2"/>
        <scheme val="minor"/>
      </rPr>
      <t>high leverage (D/E &gt; 1)</t>
    </r>
    <r>
      <rPr>
        <sz val="11"/>
        <color theme="1"/>
        <rFont val="Aptos Narrow"/>
        <family val="2"/>
        <scheme val="minor"/>
      </rPr>
      <t xml:space="preserve"> tend to show </t>
    </r>
    <r>
      <rPr>
        <b/>
        <sz val="11"/>
        <color theme="1"/>
        <rFont val="Aptos Narrow"/>
        <family val="2"/>
        <scheme val="minor"/>
      </rPr>
      <t>extreme swings in revenue growth interactions</t>
    </r>
    <r>
      <rPr>
        <sz val="11"/>
        <color theme="1"/>
        <rFont val="Aptos Narrow"/>
        <family val="2"/>
        <scheme val="minor"/>
      </rPr>
      <t>, both positive and negative.</t>
    </r>
  </si>
  <si>
    <r>
      <t xml:space="preserve">Firms with </t>
    </r>
    <r>
      <rPr>
        <b/>
        <sz val="11"/>
        <color theme="1"/>
        <rFont val="Aptos Narrow"/>
        <family val="2"/>
        <scheme val="minor"/>
      </rPr>
      <t>moderate leverage (D/E ~0.5)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stable LI (~1.1–1.2)</t>
    </r>
    <r>
      <rPr>
        <sz val="11"/>
        <color theme="1"/>
        <rFont val="Aptos Narrow"/>
        <family val="2"/>
        <scheme val="minor"/>
      </rPr>
      <t xml:space="preserve"> cluster around more predictable outcomes.</t>
    </r>
  </si>
  <si>
    <r>
      <t xml:space="preserve">The dataset suggests a </t>
    </r>
    <r>
      <rPr>
        <b/>
        <sz val="11"/>
        <color theme="1"/>
        <rFont val="Aptos Narrow"/>
        <family val="2"/>
        <scheme val="minor"/>
      </rPr>
      <t>risk-return tradeoff</t>
    </r>
    <r>
      <rPr>
        <sz val="11"/>
        <color theme="1"/>
        <rFont val="Aptos Narrow"/>
        <family val="2"/>
        <scheme val="minor"/>
      </rPr>
      <t>: higher leverage can boost growth but also increases downside volatility.</t>
    </r>
  </si>
  <si>
    <t xml:space="preserve"> Interpretation</t>
  </si>
  <si>
    <t>Summary of Primary Variables</t>
  </si>
  <si>
    <t>Distribution Shape</t>
  </si>
  <si>
    <t>Business Insight</t>
  </si>
  <si>
    <t>Bimodal / Broad</t>
  </si>
  <si>
    <t>Profitability is inconsistent across the sample. The two "humps" suggest a split between high-performers (30%+) and struggling firms (&lt;15%), possibly due to varying operational efficiencies.</t>
  </si>
  <si>
    <t>LI (Liquidity Index)</t>
  </si>
  <si>
    <t>Right-Skewed / High Peak</t>
  </si>
  <si>
    <t>Most firms maintain a tight liquidity range (1.0 to 1.5). The sharp peak indicates a standardized industry approach to working capital, with very few firms holding excessive cash.</t>
  </si>
  <si>
    <t>D/E (Debt to Equity)</t>
  </si>
  <si>
    <t>Heavily Right-Skewed</t>
  </si>
  <si>
    <t>The "Long Tail" shows that while most mid-cap firms are conservative with debt (near 0), a few are aggressively leveraged (1.5+). This creates high financial risk for that small subset.</t>
  </si>
  <si>
    <t>Wide / High Variance</t>
  </si>
  <si>
    <t>High volatility in sales. The distribution covers everything from -20% to +50%, suggesting the sector is highly sensitive to external market cycles or specific client contract wins.</t>
  </si>
  <si>
    <t>Summary of Interaction Variables</t>
  </si>
  <si>
    <t>Interaction</t>
  </si>
  <si>
    <t>LI * D/E</t>
  </si>
  <si>
    <t>Skewed Right</t>
  </si>
  <si>
    <t>Represents "Financial Risk Exposure." Most firms balance debt with liquidity well, but a few outliers are "doubling down" on risk by having high levels of both.</t>
  </si>
  <si>
    <t>LI * Rev Growth %</t>
  </si>
  <si>
    <t>Wide &amp; Multi-modal</t>
  </si>
  <si>
    <t>"Liquidity-Backed Growth." Shows that liquidity acts as a magnifier; when revenue grows, these firms have the cash to support it, but when it drops, the liquidity buffer is tested.</t>
  </si>
  <si>
    <t>D/E * Rev Growth %</t>
  </si>
  <si>
    <t>Leptokurtic (Sharp Peak at 0)</t>
  </si>
  <si>
    <t>"Leveraged Growth." Since many firms have zero debt, this interaction is irrelevant for them. For the few where it isn't zero, it indicates high-stakes expansion strategies.</t>
  </si>
  <si>
    <t>3-Level Interaction</t>
  </si>
  <si>
    <t>Extremely Spiky at 0</t>
  </si>
  <si>
    <t>"The Efficiency Frontier/Crisis Point." This identifies the rare cases where high debt, high liquidity, and high growth collide—representing either a massive expansion phase or a looming financial crunch.</t>
  </si>
  <si>
    <r>
      <t xml:space="preserve">This visual is a </t>
    </r>
    <r>
      <rPr>
        <b/>
        <sz val="11"/>
        <color theme="1"/>
        <rFont val="Aptos Narrow"/>
        <family val="2"/>
        <scheme val="minor"/>
      </rPr>
      <t>3-Way Interaction Map</t>
    </r>
    <r>
      <rPr>
        <sz val="11"/>
        <color theme="1"/>
        <rFont val="Aptos Narrow"/>
        <family val="2"/>
        <scheme val="minor"/>
      </rPr>
      <t xml:space="preserve"> designed to explain how three distinct financial levers—</t>
    </r>
    <r>
      <rPr>
        <b/>
        <sz val="11"/>
        <color theme="1"/>
        <rFont val="Aptos Narrow"/>
        <family val="2"/>
        <scheme val="minor"/>
      </rPr>
      <t>Leverage (LI)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Debt-to-Equity (D/E)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Revenue Growth</t>
    </r>
    <r>
      <rPr>
        <sz val="11"/>
        <color theme="1"/>
        <rFont val="Aptos Narrow"/>
        <family val="2"/>
        <scheme val="minor"/>
      </rPr>
      <t xml:space="preserve">—collide to impact a company's </t>
    </r>
    <r>
      <rPr>
        <b/>
        <sz val="11"/>
        <color theme="1"/>
        <rFont val="Aptos Narrow"/>
        <family val="2"/>
        <scheme val="minor"/>
      </rPr>
      <t>ROCE</t>
    </r>
    <r>
      <rPr>
        <sz val="11"/>
        <color theme="1"/>
        <rFont val="Aptos Narrow"/>
        <family val="2"/>
        <scheme val="minor"/>
      </rPr>
      <t xml:space="preserve"> (Return on Capital Employed).</t>
    </r>
  </si>
  <si>
    <t>1. The Three Spheres (The Inputs)</t>
  </si>
  <si>
    <r>
      <t>Leverage (LI):</t>
    </r>
    <r>
      <rPr>
        <sz val="11"/>
        <color theme="1"/>
        <rFont val="Aptos Narrow"/>
        <family val="2"/>
        <scheme val="minor"/>
      </rPr>
      <t xml:space="preserve"> How efficiently the company uses its assets.</t>
    </r>
  </si>
  <si>
    <r>
      <t>Debt-to-Equity (D/E):</t>
    </r>
    <r>
      <rPr>
        <sz val="11"/>
        <color theme="1"/>
        <rFont val="Aptos Narrow"/>
        <family val="2"/>
        <scheme val="minor"/>
      </rPr>
      <t xml:space="preserve"> The financial structure (how much "borrowed" vs. "owned" money is used).</t>
    </r>
  </si>
  <si>
    <r>
      <t>Revenue Growth %:</t>
    </r>
    <r>
      <rPr>
        <sz val="11"/>
        <color theme="1"/>
        <rFont val="Aptos Narrow"/>
        <family val="2"/>
        <scheme val="minor"/>
      </rPr>
      <t xml:space="preserve"> The market demand and sales performance.</t>
    </r>
  </si>
  <si>
    <t>2. The Venn Diagram (The Interaction Zone)</t>
  </si>
  <si>
    <r>
      <t xml:space="preserve">The center of the image shows where these variables overlap. This is the </t>
    </r>
    <r>
      <rPr>
        <b/>
        <sz val="11"/>
        <color theme="1"/>
        <rFont val="Aptos Narrow"/>
        <family val="2"/>
        <scheme val="minor"/>
      </rPr>
      <t>Interaction Effect</t>
    </r>
    <r>
      <rPr>
        <sz val="11"/>
        <color theme="1"/>
        <rFont val="Aptos Narrow"/>
        <family val="2"/>
        <scheme val="minor"/>
      </rPr>
      <t>:</t>
    </r>
  </si>
  <si>
    <r>
      <t>The "High Risk Zone" (Dark Center):</t>
    </r>
    <r>
      <rPr>
        <sz val="11"/>
        <color theme="1"/>
        <rFont val="Aptos Narrow"/>
        <family val="2"/>
        <scheme val="minor"/>
      </rPr>
      <t xml:space="preserve"> This is the "eye of the storm." When a company has high debt (D/E), high asset leverage (LI), and rapid growth all at once, the impact on ROCE becomes </t>
    </r>
    <r>
      <rPr>
        <b/>
        <sz val="11"/>
        <color theme="1"/>
        <rFont val="Aptos Narrow"/>
        <family val="2"/>
        <scheme val="minor"/>
      </rPr>
      <t>non-linear</t>
    </r>
    <r>
      <rPr>
        <sz val="11"/>
        <color theme="1"/>
        <rFont val="Aptos Narrow"/>
        <family val="2"/>
        <scheme val="minor"/>
      </rPr>
      <t>. A small change in sales will lead to a massive swing in profitability.</t>
    </r>
  </si>
  <si>
    <r>
      <t>Overlaps (e.g., Debt Burden &amp; Rapid Growth):</t>
    </r>
    <r>
      <rPr>
        <sz val="11"/>
        <color theme="1"/>
        <rFont val="Aptos Narrow"/>
        <family val="2"/>
        <scheme val="minor"/>
      </rPr>
      <t xml:space="preserve"> This shows that growth isn't always "clean." If growth is funded entirely by debt (the orange/green overlap), the company's ROCE might actually drop because the cost of debt eats up the new profits.</t>
    </r>
  </si>
  <si>
    <t>3. The Bell Curve (The Data Distribution)</t>
  </si>
  <si>
    <t>4. The ROCE Impact (The Result)</t>
  </si>
  <si>
    <t>The final box on the right acts as the "verdict":</t>
  </si>
  <si>
    <r>
      <t>Big Gains:</t>
    </r>
    <r>
      <rPr>
        <sz val="11"/>
        <color theme="1"/>
        <rFont val="Aptos Narrow"/>
        <family val="2"/>
        <scheme val="minor"/>
      </rPr>
      <t xml:space="preserve"> Success happens when the interaction is positive (Growth &gt; Cost of Debt).</t>
    </r>
  </si>
  <si>
    <r>
      <t>Heavy Losses:</t>
    </r>
    <r>
      <rPr>
        <sz val="11"/>
        <color theme="1"/>
        <rFont val="Aptos Narrow"/>
        <family val="2"/>
        <scheme val="minor"/>
      </rPr>
      <t xml:space="preserve"> Failure happens when the interaction "implodes"—usually when a high-debt company faces a sudden decline in revenue.</t>
    </r>
  </si>
  <si>
    <t>In the context of our batch 3 data on Indian auto-component manufacturers, here is the step-by-step interpretation of what this diagram is telling us:</t>
  </si>
  <si>
    <t>The diagram starts on the left with three "gears" or spheres. Tthese represent the independent variables:</t>
  </si>
  <si>
    <t>The graph at the bottom maps our actual data points (the ones we calculated in the table) onto a probability scale:</t>
  </si>
  <si>
    <r>
      <t>The "Loss Area" (Red Point):</t>
    </r>
    <r>
      <rPr>
        <sz val="11"/>
        <color theme="1"/>
        <rFont val="Aptos Narrow"/>
        <family val="2"/>
        <scheme val="minor"/>
      </rPr>
      <t xml:space="preserve"> This reflects cases in our data where </t>
    </r>
    <r>
      <rPr>
        <b/>
        <sz val="11"/>
        <color theme="1"/>
        <rFont val="Aptos Narrow"/>
        <family val="2"/>
        <scheme val="minor"/>
      </rPr>
      <t>Revenue Growth was negative</t>
    </r>
    <r>
      <rPr>
        <sz val="11"/>
        <color theme="1"/>
        <rFont val="Aptos Narrow"/>
        <family val="2"/>
        <scheme val="minor"/>
      </rPr>
      <t xml:space="preserve"> (around -20%). Even if the company has moderate debt, the interaction forces the ROCE downward. In our table, the firm with -19.88% growth and 0.678 D/E falls right in this danger zone.</t>
    </r>
  </si>
  <si>
    <r>
      <t>The "High Gain Area" (Green Point):</t>
    </r>
    <r>
      <rPr>
        <sz val="11"/>
        <color theme="1"/>
        <rFont val="Aptos Narrow"/>
        <family val="2"/>
        <scheme val="minor"/>
      </rPr>
      <t xml:space="preserve"> This represents the "Sweet Spot." This is where high growth (30%+) meets an optimized level of debt. In our data, the firm with </t>
    </r>
    <r>
      <rPr>
        <b/>
        <sz val="11"/>
        <color theme="1"/>
        <rFont val="Aptos Narrow"/>
        <family val="2"/>
        <scheme val="minor"/>
      </rPr>
      <t>33% growth and 1.75 D/E</t>
    </r>
    <r>
      <rPr>
        <sz val="11"/>
        <color theme="1"/>
        <rFont val="Aptos Narrow"/>
        <family val="2"/>
        <scheme val="minor"/>
      </rPr>
      <t xml:space="preserve"> is the perfect example of this—using leverage to "turbocharge" their returns.</t>
    </r>
  </si>
  <si>
    <r>
      <t xml:space="preserve">This visual proves that </t>
    </r>
    <r>
      <rPr>
        <b/>
        <sz val="11"/>
        <color theme="1"/>
        <rFont val="Aptos Narrow"/>
        <family val="2"/>
        <scheme val="minor"/>
      </rPr>
      <t>ROCE is not driven by one factor alone.</t>
    </r>
    <r>
      <rPr>
        <sz val="11"/>
        <color theme="1"/>
        <rFont val="Aptos Narrow"/>
        <family val="2"/>
        <scheme val="minor"/>
      </rPr>
      <t xml:space="preserve"> A company can't just "grow" its way to success if its debt-to-equity ratio is unmanaged, nor can it just "cut debt" if its revenue is shrinking. The highest performing mid-cap auto firms in our batch are the ones that successfully balanced all three circles to stay in the </t>
    </r>
    <r>
      <rPr>
        <b/>
        <sz val="11"/>
        <color theme="1"/>
        <rFont val="Aptos Narrow"/>
        <family val="2"/>
        <scheme val="minor"/>
      </rPr>
      <t>Green Gain Area</t>
    </r>
    <r>
      <rPr>
        <sz val="11"/>
        <color theme="1"/>
        <rFont val="Aptos Narrow"/>
        <family val="2"/>
        <scheme val="minor"/>
      </rPr>
      <t xml:space="preserve"> without falling into the </t>
    </r>
    <r>
      <rPr>
        <b/>
        <sz val="11"/>
        <color theme="1"/>
        <rFont val="Aptos Narrow"/>
        <family val="2"/>
        <scheme val="minor"/>
      </rPr>
      <t>Dark Risk Zone</t>
    </r>
    <r>
      <rPr>
        <sz val="11"/>
        <color theme="1"/>
        <rFont val="Aptos Narrow"/>
        <family val="2"/>
        <scheme val="minor"/>
      </rPr>
      <t>.</t>
    </r>
  </si>
  <si>
    <t>Business Summary for this batch: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</si>
</sst>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2222F"/>
      <name val="Aptos"/>
      <family val="2"/>
    </font>
    <font>
      <sz val="11"/>
      <color rgb="FF22222F"/>
      <name val="Arial"/>
      <family val="2"/>
    </font>
    <font>
      <b/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"/>
      <family val="2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2" fontId="5" fillId="4" borderId="1" xfId="0" applyNumberFormat="1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2" fillId="0" borderId="1" xfId="1" applyBorder="1" applyAlignment="1">
      <alignment horizontal="center" vertical="top"/>
    </xf>
    <xf numFmtId="2" fontId="4" fillId="0" borderId="1" xfId="0" applyNumberFormat="1" applyFont="1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 wrapText="1"/>
    </xf>
    <xf numFmtId="2" fontId="4" fillId="4" borderId="1" xfId="0" applyNumberFormat="1" applyFont="1" applyFill="1" applyBorder="1" applyAlignment="1">
      <alignment horizontal="center" vertical="top" wrapText="1"/>
    </xf>
    <xf numFmtId="2" fontId="4" fillId="3" borderId="1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8" fillId="0" borderId="1" xfId="1" applyFont="1" applyBorder="1" applyAlignment="1">
      <alignment horizontal="center" vertical="top"/>
    </xf>
    <xf numFmtId="17" fontId="1" fillId="0" borderId="1" xfId="0" applyNumberFormat="1" applyFont="1" applyBorder="1" applyAlignment="1">
      <alignment horizontal="center" vertical="top"/>
    </xf>
    <xf numFmtId="17" fontId="1" fillId="0" borderId="2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 wrapText="1"/>
    </xf>
    <xf numFmtId="0" fontId="2" fillId="0" borderId="2" xfId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9" fillId="0" borderId="6" xfId="0" applyFont="1" applyBorder="1" applyAlignment="1">
      <alignment vertical="center"/>
    </xf>
    <xf numFmtId="0" fontId="0" fillId="0" borderId="7" xfId="0" applyBorder="1"/>
    <xf numFmtId="0" fontId="0" fillId="0" borderId="6" xfId="0" applyBorder="1"/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0" fillId="0" borderId="6" xfId="0" applyBorder="1" applyAlignment="1">
      <alignment horizontal="left" vertical="center" indent="1"/>
    </xf>
    <xf numFmtId="0" fontId="13" fillId="0" borderId="1" xfId="0" applyFont="1" applyBorder="1" applyAlignment="1">
      <alignment vertical="center" wrapText="1"/>
    </xf>
    <xf numFmtId="0" fontId="11" fillId="0" borderId="6" xfId="0" applyFont="1" applyBorder="1" applyAlignment="1">
      <alignment vertical="center"/>
    </xf>
    <xf numFmtId="0" fontId="13" fillId="0" borderId="11" xfId="0" applyFont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1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15</xdr:col>
      <xdr:colOff>125033</xdr:colOff>
      <xdr:row>51</xdr:row>
      <xdr:rowOff>1043411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20AFDD-9C54-010C-F894-E2EDE8D4D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0858500"/>
          <a:ext cx="8659433" cy="9859751"/>
        </a:xfrm>
        <a:prstGeom prst="rect">
          <a:avLst/>
        </a:prstGeom>
      </xdr:spPr>
    </xdr:pic>
    <xdr:clientData/>
  </xdr:twoCellAnchor>
  <xdr:twoCellAnchor editAs="oneCell">
    <xdr:from>
      <xdr:col>2</xdr:col>
      <xdr:colOff>350521</xdr:colOff>
      <xdr:row>60</xdr:row>
      <xdr:rowOff>1</xdr:rowOff>
    </xdr:from>
    <xdr:to>
      <xdr:col>10</xdr:col>
      <xdr:colOff>289561</xdr:colOff>
      <xdr:row>77</xdr:row>
      <xdr:rowOff>319107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C25BCF-945F-478D-ADAF-7A81CAC53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9721" y="23896321"/>
          <a:ext cx="4815840" cy="3870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seindia.com/stock-share-price/g-s-auto-international-ltd/GSAUTO/513059/" TargetMode="External"/><Relationship Id="rId13" Type="http://schemas.openxmlformats.org/officeDocument/2006/relationships/hyperlink" Target="https://www.bseindia.com/stock-share-price/indag-rubber-ltd/INDAG/509162/" TargetMode="External"/><Relationship Id="rId18" Type="http://schemas.openxmlformats.org/officeDocument/2006/relationships/hyperlink" Target="https://www.bseindia.com/stock-share-price/pradeep-metals-ltd/PRADPME/513532/" TargetMode="External"/><Relationship Id="rId3" Type="http://schemas.openxmlformats.org/officeDocument/2006/relationships/hyperlink" Target="https://www.bseindia.com/stock-share-price/porwal-auto-components-ltd/PORWAL/532933/" TargetMode="External"/><Relationship Id="rId7" Type="http://schemas.openxmlformats.org/officeDocument/2006/relationships/hyperlink" Target="https://www.bseindia.com/stock-share-price/g-s-auto-international-ltd/GSAUTO/513059/" TargetMode="External"/><Relationship Id="rId12" Type="http://schemas.openxmlformats.org/officeDocument/2006/relationships/hyperlink" Target="https://www.bseindia.com/stock-share-price/bhagwati-autocast-ltd/BGWTATO/504646/" TargetMode="External"/><Relationship Id="rId17" Type="http://schemas.openxmlformats.org/officeDocument/2006/relationships/hyperlink" Target="https://www.bseindia.com/stock-share-price/pradeep-metals-ltd/PRADPME/513532/" TargetMode="External"/><Relationship Id="rId2" Type="http://schemas.openxmlformats.org/officeDocument/2006/relationships/hyperlink" Target="https://www.bseindia.com/stock-share-price/porwal-auto-components-ltd/PORWAL/532933/" TargetMode="External"/><Relationship Id="rId16" Type="http://schemas.openxmlformats.org/officeDocument/2006/relationships/hyperlink" Target="https://www.bseindia.com/stock-share-price/pradeep-metals-ltd/PRADPME/513532/" TargetMode="External"/><Relationship Id="rId1" Type="http://schemas.openxmlformats.org/officeDocument/2006/relationships/hyperlink" Target="https://www.bseindia.com/stock-share-price/porwal-auto-components-ltd/PORWAL/532933/" TargetMode="External"/><Relationship Id="rId6" Type="http://schemas.openxmlformats.org/officeDocument/2006/relationships/hyperlink" Target="https://www.bseindia.com/stock-share-price/g-s-auto-international-ltd/GSAUTO/513059/" TargetMode="External"/><Relationship Id="rId11" Type="http://schemas.openxmlformats.org/officeDocument/2006/relationships/hyperlink" Target="https://www.bseindia.com/stock-share-price/bhagwati-autocast-ltd/BGWTATO/504646/" TargetMode="External"/><Relationship Id="rId5" Type="http://schemas.openxmlformats.org/officeDocument/2006/relationships/hyperlink" Target="https://www.bseindia.com/stock-share-price/g-s-auto-international-ltd/GSAUTO/513059/" TargetMode="External"/><Relationship Id="rId15" Type="http://schemas.openxmlformats.org/officeDocument/2006/relationships/hyperlink" Target="https://www.bseindia.com/stock-share-price/indag-rubber-ltd/INDAG/509162/" TargetMode="External"/><Relationship Id="rId10" Type="http://schemas.openxmlformats.org/officeDocument/2006/relationships/hyperlink" Target="https://www.bseindia.com/stock-share-price/bhagwati-autocast-ltd/BGWTATO/504646/" TargetMode="External"/><Relationship Id="rId19" Type="http://schemas.openxmlformats.org/officeDocument/2006/relationships/hyperlink" Target="https://www.bseindia.com/stock-share-price/pradeep-metals-ltd/PRADPME/513532/" TargetMode="External"/><Relationship Id="rId4" Type="http://schemas.openxmlformats.org/officeDocument/2006/relationships/hyperlink" Target="https://www.bseindia.com/stock-share-price/porwal-auto-components-ltd/PORWAL/532933/" TargetMode="External"/><Relationship Id="rId9" Type="http://schemas.openxmlformats.org/officeDocument/2006/relationships/hyperlink" Target="https://www.bseindia.com/stock-share-price/bhagwati-autocast-ltd/BGWTATO/504646/" TargetMode="External"/><Relationship Id="rId14" Type="http://schemas.openxmlformats.org/officeDocument/2006/relationships/hyperlink" Target="https://www.bseindia.com/stock-share-price/indag-rubber-ltd/INDAG/509162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55AD-C8F3-4DD7-AD34-6897323C9A0E}">
  <dimension ref="A2:AC62"/>
  <sheetViews>
    <sheetView topLeftCell="C19" zoomScale="75" zoomScaleNormal="75" workbookViewId="0">
      <selection activeCell="U2" sqref="U2"/>
    </sheetView>
  </sheetViews>
  <sheetFormatPr defaultRowHeight="14.4" x14ac:dyDescent="0.3"/>
  <cols>
    <col min="1" max="4" width="8.88671875" style="15"/>
    <col min="5" max="5" width="12.33203125" style="15" bestFit="1" customWidth="1"/>
    <col min="6" max="6" width="10.5546875" style="15" bestFit="1" customWidth="1"/>
    <col min="7" max="7" width="10.44140625" style="15" bestFit="1" customWidth="1"/>
    <col min="8" max="8" width="11.109375" style="15" bestFit="1" customWidth="1"/>
    <col min="9" max="10" width="10.44140625" style="15" bestFit="1" customWidth="1"/>
    <col min="11" max="12" width="12.6640625" style="15" bestFit="1" customWidth="1"/>
    <col min="13" max="13" width="10.44140625" style="15" bestFit="1" customWidth="1"/>
    <col min="14" max="21" width="9" style="15" bestFit="1" customWidth="1"/>
    <col min="22" max="22" width="9.33203125" style="15" bestFit="1" customWidth="1"/>
    <col min="23" max="23" width="9" style="15" bestFit="1" customWidth="1"/>
    <col min="24" max="24" width="10.44140625" style="15" bestFit="1" customWidth="1"/>
    <col min="25" max="25" width="9.33203125" style="15" bestFit="1" customWidth="1"/>
    <col min="26" max="27" width="10.44140625" style="15" bestFit="1" customWidth="1"/>
    <col min="28" max="29" width="9.33203125" style="15" bestFit="1" customWidth="1"/>
    <col min="30" max="16384" width="8.88671875" style="15"/>
  </cols>
  <sheetData>
    <row r="2" spans="1:29" x14ac:dyDescent="0.3">
      <c r="A2" s="3"/>
      <c r="B2" s="3"/>
      <c r="C2" s="3"/>
      <c r="D2" s="3"/>
      <c r="E2" s="3"/>
      <c r="F2" s="3"/>
      <c r="G2" s="3"/>
      <c r="H2" s="3"/>
      <c r="I2" s="3"/>
    </row>
    <row r="3" spans="1:29" x14ac:dyDescent="0.3">
      <c r="A3" s="3"/>
      <c r="B3" s="3"/>
      <c r="C3" s="3"/>
      <c r="D3" s="3"/>
      <c r="E3" s="3"/>
      <c r="F3" s="3"/>
      <c r="G3" s="3"/>
      <c r="H3" s="3"/>
      <c r="I3" s="3"/>
    </row>
    <row r="4" spans="1:29" x14ac:dyDescent="0.3">
      <c r="A4" s="3"/>
      <c r="B4" s="3"/>
      <c r="C4" s="77" t="s">
        <v>0</v>
      </c>
      <c r="D4" s="77"/>
      <c r="E4" s="77"/>
      <c r="F4" s="77"/>
      <c r="G4" s="77"/>
      <c r="H4" s="77"/>
      <c r="I4" s="77"/>
    </row>
    <row r="6" spans="1:29" ht="57.6" x14ac:dyDescent="0.3">
      <c r="A6" s="3" t="s">
        <v>1</v>
      </c>
      <c r="B6" s="1" t="s">
        <v>2</v>
      </c>
      <c r="C6" s="1" t="s">
        <v>3</v>
      </c>
      <c r="D6" s="2" t="s">
        <v>4</v>
      </c>
      <c r="E6" s="1" t="s">
        <v>5</v>
      </c>
      <c r="F6" s="1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 t="s">
        <v>16</v>
      </c>
      <c r="Q6" s="2" t="s">
        <v>17</v>
      </c>
      <c r="R6" s="2" t="s">
        <v>18</v>
      </c>
      <c r="S6" s="2" t="s">
        <v>19</v>
      </c>
      <c r="T6" s="2" t="s">
        <v>20</v>
      </c>
      <c r="U6" s="2" t="s">
        <v>21</v>
      </c>
      <c r="V6" s="2" t="s">
        <v>22</v>
      </c>
      <c r="W6" s="2" t="s">
        <v>23</v>
      </c>
      <c r="X6" s="2" t="s">
        <v>24</v>
      </c>
      <c r="Y6" s="2" t="s">
        <v>25</v>
      </c>
      <c r="Z6" s="2" t="s">
        <v>26</v>
      </c>
      <c r="AA6" s="2" t="s">
        <v>27</v>
      </c>
      <c r="AB6" s="2" t="s">
        <v>28</v>
      </c>
      <c r="AC6" s="2" t="s">
        <v>29</v>
      </c>
    </row>
    <row r="7" spans="1:29" ht="57.6" x14ac:dyDescent="0.3">
      <c r="A7" s="15">
        <v>11</v>
      </c>
      <c r="B7" s="5" t="s">
        <v>31</v>
      </c>
      <c r="C7" s="16" t="s">
        <v>30</v>
      </c>
      <c r="D7" s="17">
        <v>45717</v>
      </c>
      <c r="E7" s="10">
        <v>140</v>
      </c>
      <c r="F7" s="11">
        <f>100*(E7-E8)/E8</f>
        <v>-4.1095890410958908</v>
      </c>
      <c r="G7" s="10">
        <v>14</v>
      </c>
      <c r="H7" s="10">
        <v>14.97</v>
      </c>
      <c r="I7" s="10">
        <v>0.27</v>
      </c>
      <c r="J7" s="10">
        <v>0.37</v>
      </c>
      <c r="K7" s="10">
        <v>7.84</v>
      </c>
      <c r="L7" s="11">
        <f>SUM(G7:K7)</f>
        <v>37.450000000000003</v>
      </c>
      <c r="M7" s="10">
        <v>5.75</v>
      </c>
      <c r="N7" s="10">
        <v>0</v>
      </c>
      <c r="O7" s="10">
        <v>12.68</v>
      </c>
      <c r="P7" s="10">
        <v>3.44</v>
      </c>
      <c r="Q7" s="10">
        <v>0</v>
      </c>
      <c r="R7" s="11">
        <f>SUM(M7:Q7)</f>
        <v>21.87</v>
      </c>
      <c r="S7" s="11">
        <f>L7/R7</f>
        <v>1.7123914037494286</v>
      </c>
      <c r="T7" s="11">
        <f>(L7-G7-K7)/R7</f>
        <v>0.71376314586191136</v>
      </c>
      <c r="U7" s="12">
        <f>(S7+T7)/2</f>
        <v>1.21307727480567</v>
      </c>
      <c r="V7" s="11">
        <v>85</v>
      </c>
      <c r="W7" s="11">
        <f>V7-R7</f>
        <v>63.129999999999995</v>
      </c>
      <c r="X7" s="11">
        <v>7</v>
      </c>
      <c r="Y7" s="20">
        <v>0.1</v>
      </c>
      <c r="Z7" s="11">
        <f>X7+Y7</f>
        <v>7.1</v>
      </c>
      <c r="AA7" s="11">
        <f>100*(Z7/W7)</f>
        <v>11.246633929985745</v>
      </c>
      <c r="AB7" s="11">
        <v>6.0317460317460311E-2</v>
      </c>
      <c r="AC7" s="11">
        <f>U7*AB7</f>
        <v>7.316974038510389E-2</v>
      </c>
    </row>
    <row r="8" spans="1:29" ht="57.6" x14ac:dyDescent="0.3">
      <c r="A8" s="15">
        <v>11</v>
      </c>
      <c r="B8" s="5" t="s">
        <v>31</v>
      </c>
      <c r="C8" s="16" t="s">
        <v>30</v>
      </c>
      <c r="D8" s="17">
        <v>45352</v>
      </c>
      <c r="E8" s="10">
        <v>146</v>
      </c>
      <c r="F8" s="11">
        <f t="shared" ref="F8:F30" si="0">100*(E8-E9)/E9</f>
        <v>3.5460992907801416</v>
      </c>
      <c r="G8" s="10">
        <v>14.13</v>
      </c>
      <c r="H8" s="10">
        <v>10.59</v>
      </c>
      <c r="I8" s="10">
        <v>0.12</v>
      </c>
      <c r="J8" s="10">
        <v>0.41</v>
      </c>
      <c r="K8" s="10">
        <v>4.26</v>
      </c>
      <c r="L8" s="11">
        <f t="shared" ref="L8:L11" si="1">SUM(G8:K8)</f>
        <v>29.509999999999998</v>
      </c>
      <c r="M8" s="10">
        <v>3.3</v>
      </c>
      <c r="N8" s="10">
        <v>0</v>
      </c>
      <c r="O8" s="10">
        <v>12.88</v>
      </c>
      <c r="P8" s="10">
        <v>5.62</v>
      </c>
      <c r="Q8" s="10">
        <v>0</v>
      </c>
      <c r="R8" s="11">
        <f t="shared" ref="R8:R31" si="2">SUM(M8:Q8)</f>
        <v>21.8</v>
      </c>
      <c r="S8" s="11">
        <f t="shared" ref="S8:S31" si="3">L8/R8</f>
        <v>1.353669724770642</v>
      </c>
      <c r="T8" s="11">
        <f t="shared" ref="T8:T31" si="4">(L8-G8-K8)/R8</f>
        <v>0.51009174311926597</v>
      </c>
      <c r="U8" s="12">
        <f t="shared" ref="U8:U31" si="5">(S8+T8)/2</f>
        <v>0.93188073394495397</v>
      </c>
      <c r="V8" s="11">
        <v>85</v>
      </c>
      <c r="W8" s="11">
        <f t="shared" ref="W8:W31" si="6">V8-R8</f>
        <v>63.2</v>
      </c>
      <c r="X8" s="11">
        <v>12</v>
      </c>
      <c r="Y8" s="20">
        <v>0.1</v>
      </c>
      <c r="Z8" s="11">
        <f t="shared" ref="Z8:Z11" si="7">X8+Y8</f>
        <v>12.1</v>
      </c>
      <c r="AA8" s="11">
        <f t="shared" ref="AA8:AA31" si="8">100*(Z8/W8)</f>
        <v>19.145569620253163</v>
      </c>
      <c r="AB8" s="11">
        <v>9.3333333333333351E-2</v>
      </c>
      <c r="AC8" s="11">
        <f t="shared" ref="AC8:AC31" si="9">U8*AB8</f>
        <v>8.6975535168195714E-2</v>
      </c>
    </row>
    <row r="9" spans="1:29" ht="57.6" x14ac:dyDescent="0.3">
      <c r="A9" s="15">
        <v>11</v>
      </c>
      <c r="B9" s="5" t="s">
        <v>31</v>
      </c>
      <c r="C9" s="16" t="s">
        <v>30</v>
      </c>
      <c r="D9" s="17">
        <v>44986</v>
      </c>
      <c r="E9" s="10">
        <v>141</v>
      </c>
      <c r="F9" s="11">
        <f t="shared" si="0"/>
        <v>31.77570093457944</v>
      </c>
      <c r="G9" s="10">
        <v>12.67</v>
      </c>
      <c r="H9" s="10">
        <v>6.3</v>
      </c>
      <c r="I9" s="10">
        <v>0.11</v>
      </c>
      <c r="J9" s="10">
        <v>0.65</v>
      </c>
      <c r="K9" s="10">
        <v>3.08</v>
      </c>
      <c r="L9" s="11">
        <f t="shared" si="1"/>
        <v>22.809999999999995</v>
      </c>
      <c r="M9" s="10">
        <v>6.81</v>
      </c>
      <c r="N9" s="10">
        <v>0</v>
      </c>
      <c r="O9" s="10">
        <v>3.86</v>
      </c>
      <c r="P9" s="10">
        <v>4.91</v>
      </c>
      <c r="Q9" s="10">
        <v>0</v>
      </c>
      <c r="R9" s="11">
        <f t="shared" si="2"/>
        <v>15.58</v>
      </c>
      <c r="S9" s="11">
        <f t="shared" si="3"/>
        <v>1.4640564826700895</v>
      </c>
      <c r="T9" s="11">
        <f t="shared" si="4"/>
        <v>0.45314505776636682</v>
      </c>
      <c r="U9" s="12">
        <f t="shared" si="5"/>
        <v>0.9586007702182282</v>
      </c>
      <c r="V9" s="11">
        <v>76</v>
      </c>
      <c r="W9" s="11">
        <f t="shared" si="6"/>
        <v>60.42</v>
      </c>
      <c r="X9" s="11">
        <v>8</v>
      </c>
      <c r="Y9" s="20">
        <v>0.1</v>
      </c>
      <c r="Z9" s="11">
        <f t="shared" si="7"/>
        <v>8.1</v>
      </c>
      <c r="AA9" s="11">
        <f t="shared" si="8"/>
        <v>13.406156901688181</v>
      </c>
      <c r="AB9" s="11">
        <v>0.10728813559322034</v>
      </c>
      <c r="AC9" s="11">
        <f t="shared" si="9"/>
        <v>0.10284648941493872</v>
      </c>
    </row>
    <row r="10" spans="1:29" ht="57.6" x14ac:dyDescent="0.3">
      <c r="A10" s="15">
        <v>11</v>
      </c>
      <c r="B10" s="5" t="s">
        <v>31</v>
      </c>
      <c r="C10" s="16" t="s">
        <v>30</v>
      </c>
      <c r="D10" s="17">
        <v>44621</v>
      </c>
      <c r="E10" s="10">
        <v>107</v>
      </c>
      <c r="F10" s="11">
        <f t="shared" si="0"/>
        <v>52.857142857142854</v>
      </c>
      <c r="G10" s="10">
        <v>13.24</v>
      </c>
      <c r="H10" s="10">
        <v>10.99</v>
      </c>
      <c r="I10" s="10">
        <v>0.12</v>
      </c>
      <c r="J10" s="10">
        <v>0.52</v>
      </c>
      <c r="K10" s="10">
        <v>2.97</v>
      </c>
      <c r="L10" s="11">
        <f t="shared" si="1"/>
        <v>27.84</v>
      </c>
      <c r="M10" s="10">
        <v>6.55</v>
      </c>
      <c r="N10" s="10">
        <v>0</v>
      </c>
      <c r="O10" s="10">
        <v>2.9</v>
      </c>
      <c r="P10" s="10">
        <v>9.9499999999999993</v>
      </c>
      <c r="Q10" s="10">
        <v>0</v>
      </c>
      <c r="R10" s="11">
        <f t="shared" si="2"/>
        <v>19.399999999999999</v>
      </c>
      <c r="S10" s="11">
        <f t="shared" si="3"/>
        <v>1.4350515463917526</v>
      </c>
      <c r="T10" s="11">
        <f t="shared" si="4"/>
        <v>0.59948453608247421</v>
      </c>
      <c r="U10" s="12">
        <f t="shared" si="5"/>
        <v>1.0172680412371133</v>
      </c>
      <c r="V10" s="11">
        <v>84</v>
      </c>
      <c r="W10" s="11">
        <f t="shared" si="6"/>
        <v>64.599999999999994</v>
      </c>
      <c r="X10" s="11">
        <v>5</v>
      </c>
      <c r="Y10" s="20">
        <v>0.1</v>
      </c>
      <c r="Z10" s="11">
        <f t="shared" si="7"/>
        <v>5.0999999999999996</v>
      </c>
      <c r="AA10" s="11">
        <f t="shared" si="8"/>
        <v>7.8947368421052628</v>
      </c>
      <c r="AB10" s="11">
        <v>0.24616666666666667</v>
      </c>
      <c r="AC10" s="11">
        <f t="shared" si="9"/>
        <v>0.25041748281786941</v>
      </c>
    </row>
    <row r="11" spans="1:29" ht="57.6" x14ac:dyDescent="0.3">
      <c r="A11" s="15">
        <v>11</v>
      </c>
      <c r="B11" s="5" t="s">
        <v>31</v>
      </c>
      <c r="C11" s="16" t="s">
        <v>30</v>
      </c>
      <c r="D11" s="17">
        <v>44256</v>
      </c>
      <c r="E11" s="10">
        <v>70</v>
      </c>
      <c r="F11" s="11">
        <v>-11.39240506329114</v>
      </c>
      <c r="G11" s="10">
        <v>9.84</v>
      </c>
      <c r="H11" s="10">
        <v>11.28</v>
      </c>
      <c r="I11" s="10">
        <v>0.11</v>
      </c>
      <c r="J11" s="10">
        <v>0.42</v>
      </c>
      <c r="K11" s="10">
        <v>4.2</v>
      </c>
      <c r="L11" s="11">
        <f t="shared" si="1"/>
        <v>25.849999999999998</v>
      </c>
      <c r="M11" s="10">
        <v>3.96</v>
      </c>
      <c r="N11" s="10">
        <v>0</v>
      </c>
      <c r="O11" s="10">
        <v>6.32</v>
      </c>
      <c r="P11" s="10">
        <v>7.29</v>
      </c>
      <c r="Q11" s="10">
        <v>0</v>
      </c>
      <c r="R11" s="11">
        <f t="shared" si="2"/>
        <v>17.57</v>
      </c>
      <c r="S11" s="11">
        <f t="shared" si="3"/>
        <v>1.471257825839499</v>
      </c>
      <c r="T11" s="11">
        <f t="shared" si="4"/>
        <v>0.67216846898121785</v>
      </c>
      <c r="U11" s="12">
        <f t="shared" si="5"/>
        <v>1.0717131474103585</v>
      </c>
      <c r="V11" s="11">
        <v>85</v>
      </c>
      <c r="W11" s="11">
        <f t="shared" si="6"/>
        <v>67.430000000000007</v>
      </c>
      <c r="X11" s="11">
        <v>8</v>
      </c>
      <c r="Y11" s="20">
        <v>0.1</v>
      </c>
      <c r="Z11" s="11">
        <f t="shared" si="7"/>
        <v>8.1</v>
      </c>
      <c r="AA11" s="11">
        <f t="shared" si="8"/>
        <v>12.012457363191457</v>
      </c>
      <c r="AB11" s="11">
        <v>0.23700000000000002</v>
      </c>
      <c r="AC11" s="11">
        <f t="shared" si="9"/>
        <v>0.25399601593625498</v>
      </c>
    </row>
    <row r="12" spans="1:29" ht="43.2" x14ac:dyDescent="0.3">
      <c r="A12" s="15">
        <v>12</v>
      </c>
      <c r="B12" s="5" t="s">
        <v>40</v>
      </c>
      <c r="C12" s="16">
        <v>513059</v>
      </c>
      <c r="D12" s="17">
        <v>45717</v>
      </c>
      <c r="E12" s="11">
        <v>144</v>
      </c>
      <c r="F12" s="11">
        <f t="shared" si="0"/>
        <v>-3.3557046979865772</v>
      </c>
      <c r="G12" s="13">
        <v>31.38</v>
      </c>
      <c r="H12" s="13">
        <v>16.940000000000001</v>
      </c>
      <c r="I12" s="13">
        <v>0.95</v>
      </c>
      <c r="J12" s="13">
        <v>0</v>
      </c>
      <c r="K12" s="13">
        <v>11.24</v>
      </c>
      <c r="L12" s="11">
        <f>SUM(G12:K12)</f>
        <v>60.510000000000005</v>
      </c>
      <c r="M12" s="14">
        <v>18.3</v>
      </c>
      <c r="N12" s="14">
        <v>0.46</v>
      </c>
      <c r="O12" s="14">
        <v>27.35</v>
      </c>
      <c r="P12" s="13">
        <v>18.66</v>
      </c>
      <c r="Q12" s="14">
        <v>0.2</v>
      </c>
      <c r="R12" s="11">
        <f t="shared" si="2"/>
        <v>64.97</v>
      </c>
      <c r="S12" s="11">
        <f t="shared" si="3"/>
        <v>0.93135293212251813</v>
      </c>
      <c r="T12" s="11">
        <f t="shared" si="4"/>
        <v>0.27535785747267982</v>
      </c>
      <c r="U12" s="12">
        <f t="shared" si="5"/>
        <v>0.60335539479759892</v>
      </c>
      <c r="V12" s="14">
        <v>97</v>
      </c>
      <c r="W12" s="11">
        <f t="shared" si="6"/>
        <v>32.03</v>
      </c>
      <c r="X12" s="13">
        <v>10</v>
      </c>
      <c r="Y12" s="13">
        <v>0.2</v>
      </c>
      <c r="Z12" s="11">
        <v>10.199999999999999</v>
      </c>
      <c r="AA12" s="11">
        <f t="shared" si="8"/>
        <v>31.845145176397121</v>
      </c>
      <c r="AB12" s="11">
        <v>1.2234782608695653</v>
      </c>
      <c r="AC12" s="11">
        <f t="shared" si="9"/>
        <v>0.73819220911323635</v>
      </c>
    </row>
    <row r="13" spans="1:29" ht="43.2" x14ac:dyDescent="0.3">
      <c r="A13" s="15">
        <v>12</v>
      </c>
      <c r="B13" s="5" t="s">
        <v>40</v>
      </c>
      <c r="C13" s="16">
        <v>513059</v>
      </c>
      <c r="D13" s="17">
        <v>45352</v>
      </c>
      <c r="E13" s="11">
        <v>149</v>
      </c>
      <c r="F13" s="11">
        <f t="shared" si="0"/>
        <v>15.503875968992247</v>
      </c>
      <c r="G13" s="13">
        <v>30.92</v>
      </c>
      <c r="H13" s="13">
        <v>14.89</v>
      </c>
      <c r="I13" s="13">
        <v>0.94</v>
      </c>
      <c r="J13" s="13">
        <v>0</v>
      </c>
      <c r="K13" s="13">
        <v>12.15</v>
      </c>
      <c r="L13" s="11">
        <f t="shared" ref="L13:L16" si="10">SUM(G13:K13)</f>
        <v>58.9</v>
      </c>
      <c r="M13" s="14">
        <v>15.5</v>
      </c>
      <c r="N13" s="14">
        <v>0.59</v>
      </c>
      <c r="O13" s="14">
        <v>26.36</v>
      </c>
      <c r="P13" s="13">
        <v>21.23</v>
      </c>
      <c r="Q13" s="14">
        <v>0.18</v>
      </c>
      <c r="R13" s="11">
        <f t="shared" si="2"/>
        <v>63.860000000000007</v>
      </c>
      <c r="S13" s="11">
        <f t="shared" si="3"/>
        <v>0.92233009708737856</v>
      </c>
      <c r="T13" s="11">
        <f t="shared" si="4"/>
        <v>0.24788600062637012</v>
      </c>
      <c r="U13" s="12">
        <f t="shared" si="5"/>
        <v>0.58510804885687429</v>
      </c>
      <c r="V13" s="14">
        <v>98</v>
      </c>
      <c r="W13" s="11">
        <f t="shared" si="6"/>
        <v>34.139999999999993</v>
      </c>
      <c r="X13" s="13">
        <v>9</v>
      </c>
      <c r="Y13" s="13">
        <v>0.36</v>
      </c>
      <c r="Z13" s="11">
        <v>9.36</v>
      </c>
      <c r="AA13" s="11">
        <f t="shared" si="8"/>
        <v>27.416520210896312</v>
      </c>
      <c r="AB13" s="11">
        <v>1.5463636363636362</v>
      </c>
      <c r="AC13" s="11">
        <f t="shared" si="9"/>
        <v>0.90478981009594817</v>
      </c>
    </row>
    <row r="14" spans="1:29" ht="43.2" x14ac:dyDescent="0.3">
      <c r="A14" s="15">
        <v>12</v>
      </c>
      <c r="B14" s="5" t="s">
        <v>40</v>
      </c>
      <c r="C14" s="16">
        <v>513059</v>
      </c>
      <c r="D14" s="17">
        <v>44986</v>
      </c>
      <c r="E14" s="11">
        <v>129</v>
      </c>
      <c r="F14" s="11">
        <f t="shared" si="0"/>
        <v>32.989690721649481</v>
      </c>
      <c r="G14" s="13">
        <v>29</v>
      </c>
      <c r="H14" s="13">
        <v>15.82</v>
      </c>
      <c r="I14" s="13">
        <v>0.98</v>
      </c>
      <c r="J14" s="13">
        <v>0</v>
      </c>
      <c r="K14" s="13">
        <v>12.49</v>
      </c>
      <c r="L14" s="11">
        <f t="shared" si="10"/>
        <v>58.29</v>
      </c>
      <c r="M14" s="14">
        <v>14.89</v>
      </c>
      <c r="N14" s="14">
        <v>0.69</v>
      </c>
      <c r="O14" s="14">
        <v>26.49</v>
      </c>
      <c r="P14" s="13">
        <v>19</v>
      </c>
      <c r="Q14" s="14">
        <v>0.17</v>
      </c>
      <c r="R14" s="11">
        <f t="shared" si="2"/>
        <v>61.24</v>
      </c>
      <c r="S14" s="11">
        <f t="shared" si="3"/>
        <v>0.95182887001959504</v>
      </c>
      <c r="T14" s="11">
        <f t="shared" si="4"/>
        <v>0.27433050293925532</v>
      </c>
      <c r="U14" s="12">
        <f t="shared" si="5"/>
        <v>0.61307968647942523</v>
      </c>
      <c r="V14" s="14">
        <v>100</v>
      </c>
      <c r="W14" s="11">
        <f t="shared" si="6"/>
        <v>38.76</v>
      </c>
      <c r="X14" s="13">
        <v>4</v>
      </c>
      <c r="Y14" s="13">
        <v>0.13</v>
      </c>
      <c r="Z14" s="11">
        <v>4.13</v>
      </c>
      <c r="AA14" s="11">
        <f t="shared" si="8"/>
        <v>10.655314757481941</v>
      </c>
      <c r="AB14" s="11">
        <v>1.7557142857142856</v>
      </c>
      <c r="AC14" s="11">
        <f t="shared" si="9"/>
        <v>1.0763927638331623</v>
      </c>
    </row>
    <row r="15" spans="1:29" ht="43.2" x14ac:dyDescent="0.3">
      <c r="A15" s="15">
        <v>12</v>
      </c>
      <c r="B15" s="5" t="s">
        <v>40</v>
      </c>
      <c r="C15" s="16">
        <v>513059</v>
      </c>
      <c r="D15" s="17">
        <v>44621</v>
      </c>
      <c r="E15" s="11">
        <v>97</v>
      </c>
      <c r="F15" s="11">
        <f t="shared" si="0"/>
        <v>29.333333333333332</v>
      </c>
      <c r="G15" s="13">
        <v>28</v>
      </c>
      <c r="H15" s="13">
        <v>18.239999999999998</v>
      </c>
      <c r="I15" s="13">
        <v>1.1499999999999999</v>
      </c>
      <c r="J15" s="13">
        <v>0</v>
      </c>
      <c r="K15" s="13">
        <v>10.29</v>
      </c>
      <c r="L15" s="11">
        <f t="shared" si="10"/>
        <v>57.679999999999993</v>
      </c>
      <c r="M15" s="14">
        <v>14.13</v>
      </c>
      <c r="N15" s="14">
        <v>0.75</v>
      </c>
      <c r="O15" s="14">
        <v>25.94</v>
      </c>
      <c r="P15" s="13">
        <v>17.07</v>
      </c>
      <c r="Q15" s="14">
        <v>0.17</v>
      </c>
      <c r="R15" s="11">
        <f t="shared" si="2"/>
        <v>58.06</v>
      </c>
      <c r="S15" s="11">
        <f t="shared" si="3"/>
        <v>0.99345504650361682</v>
      </c>
      <c r="T15" s="11">
        <f t="shared" si="4"/>
        <v>0.33396486393386138</v>
      </c>
      <c r="U15" s="12">
        <f t="shared" si="5"/>
        <v>0.6637099552187391</v>
      </c>
      <c r="V15" s="14">
        <v>102</v>
      </c>
      <c r="W15" s="11">
        <f t="shared" si="6"/>
        <v>43.94</v>
      </c>
      <c r="X15" s="13">
        <v>7</v>
      </c>
      <c r="Y15" s="13">
        <v>0.31</v>
      </c>
      <c r="Z15" s="11">
        <v>7.31</v>
      </c>
      <c r="AA15" s="11">
        <f t="shared" si="8"/>
        <v>16.636322257624034</v>
      </c>
      <c r="AB15" s="11">
        <v>1.5391666666666668</v>
      </c>
      <c r="AC15" s="11">
        <f t="shared" si="9"/>
        <v>1.0215602394075094</v>
      </c>
    </row>
    <row r="16" spans="1:29" ht="43.2" x14ac:dyDescent="0.3">
      <c r="A16" s="15">
        <v>12</v>
      </c>
      <c r="B16" s="5" t="s">
        <v>40</v>
      </c>
      <c r="C16" s="16">
        <v>513059</v>
      </c>
      <c r="D16" s="17">
        <v>44256</v>
      </c>
      <c r="E16" s="11">
        <v>75</v>
      </c>
      <c r="F16" s="11">
        <v>-8.536585365853659</v>
      </c>
      <c r="G16" s="13">
        <v>28.97</v>
      </c>
      <c r="H16" s="13">
        <v>17.670000000000002</v>
      </c>
      <c r="I16" s="13">
        <v>1.82</v>
      </c>
      <c r="J16" s="13">
        <v>0</v>
      </c>
      <c r="K16" s="13">
        <v>13.39</v>
      </c>
      <c r="L16" s="11">
        <f t="shared" si="10"/>
        <v>61.85</v>
      </c>
      <c r="M16" s="14">
        <v>13.59</v>
      </c>
      <c r="N16" s="14">
        <v>1.29</v>
      </c>
      <c r="O16" s="14">
        <v>32.6</v>
      </c>
      <c r="P16" s="13">
        <v>27.39</v>
      </c>
      <c r="Q16" s="14">
        <v>0.15</v>
      </c>
      <c r="R16" s="11">
        <f t="shared" si="2"/>
        <v>75.02000000000001</v>
      </c>
      <c r="S16" s="11">
        <f t="shared" si="3"/>
        <v>0.82444681418288446</v>
      </c>
      <c r="T16" s="11">
        <f t="shared" si="4"/>
        <v>0.25979738736336977</v>
      </c>
      <c r="U16" s="12">
        <f t="shared" si="5"/>
        <v>0.54212210077312717</v>
      </c>
      <c r="V16" s="14">
        <v>109</v>
      </c>
      <c r="W16" s="11">
        <f t="shared" si="6"/>
        <v>33.97999999999999</v>
      </c>
      <c r="X16" s="13">
        <v>4</v>
      </c>
      <c r="Y16" s="13">
        <v>0.35</v>
      </c>
      <c r="Z16" s="11">
        <v>4.3499999999999996</v>
      </c>
      <c r="AA16" s="11">
        <f t="shared" si="8"/>
        <v>12.801648028251917</v>
      </c>
      <c r="AB16" s="11">
        <v>1.2866666666666668</v>
      </c>
      <c r="AC16" s="11">
        <f t="shared" si="9"/>
        <v>0.69753043632809042</v>
      </c>
    </row>
    <row r="17" spans="1:29" ht="57.6" x14ac:dyDescent="0.3">
      <c r="A17" s="15">
        <v>13</v>
      </c>
      <c r="B17" s="5" t="s">
        <v>42</v>
      </c>
      <c r="C17" s="16" t="s">
        <v>41</v>
      </c>
      <c r="D17" s="17">
        <v>45717</v>
      </c>
      <c r="E17" s="11">
        <v>140</v>
      </c>
      <c r="F17" s="11">
        <f t="shared" si="0"/>
        <v>4.4776119402985071</v>
      </c>
      <c r="G17" s="13">
        <v>6.89</v>
      </c>
      <c r="H17" s="13">
        <v>29.35</v>
      </c>
      <c r="I17" s="13">
        <v>0.35</v>
      </c>
      <c r="J17" s="13">
        <v>0.92</v>
      </c>
      <c r="K17" s="13">
        <v>3.14</v>
      </c>
      <c r="L17" s="11">
        <f>SUM(G17:K17)</f>
        <v>40.650000000000006</v>
      </c>
      <c r="M17" s="14">
        <v>19.46</v>
      </c>
      <c r="N17" s="14">
        <v>0</v>
      </c>
      <c r="O17" s="14">
        <v>7.01</v>
      </c>
      <c r="P17" s="13">
        <v>4.34</v>
      </c>
      <c r="Q17" s="14">
        <v>0</v>
      </c>
      <c r="R17" s="11">
        <f t="shared" si="2"/>
        <v>30.81</v>
      </c>
      <c r="S17" s="11">
        <f t="shared" si="3"/>
        <v>1.3193768257059399</v>
      </c>
      <c r="T17" s="11">
        <f t="shared" si="4"/>
        <v>0.99383317104836111</v>
      </c>
      <c r="U17" s="12">
        <f t="shared" si="5"/>
        <v>1.1566049983771505</v>
      </c>
      <c r="V17" s="14">
        <v>84</v>
      </c>
      <c r="W17" s="11">
        <f t="shared" si="6"/>
        <v>53.19</v>
      </c>
      <c r="X17" s="13">
        <v>12</v>
      </c>
      <c r="Y17" s="13">
        <v>0.24</v>
      </c>
      <c r="Z17" s="11">
        <f>SUM(X17:Y17)</f>
        <v>12.24</v>
      </c>
      <c r="AA17" s="11">
        <f t="shared" si="8"/>
        <v>23.011844331641289</v>
      </c>
      <c r="AB17" s="11">
        <v>0.23765957446808511</v>
      </c>
      <c r="AC17" s="11">
        <f t="shared" si="9"/>
        <v>0.27487825174197383</v>
      </c>
    </row>
    <row r="18" spans="1:29" ht="57.6" x14ac:dyDescent="0.3">
      <c r="A18" s="15">
        <v>13</v>
      </c>
      <c r="B18" s="5" t="s">
        <v>42</v>
      </c>
      <c r="C18" s="16" t="s">
        <v>43</v>
      </c>
      <c r="D18" s="17">
        <v>45352</v>
      </c>
      <c r="E18" s="11">
        <v>134</v>
      </c>
      <c r="F18" s="11">
        <f t="shared" si="0"/>
        <v>-12.987012987012987</v>
      </c>
      <c r="G18" s="13">
        <v>6.52</v>
      </c>
      <c r="H18" s="13">
        <v>23.65</v>
      </c>
      <c r="I18" s="13">
        <v>3.24</v>
      </c>
      <c r="J18" s="13">
        <v>0.33</v>
      </c>
      <c r="K18" s="13">
        <v>2.66</v>
      </c>
      <c r="L18" s="11">
        <f t="shared" ref="L18:L31" si="11">SUM(G18:K18)</f>
        <v>36.399999999999991</v>
      </c>
      <c r="M18" s="14">
        <v>13.91</v>
      </c>
      <c r="N18" s="14">
        <v>0</v>
      </c>
      <c r="O18" s="14">
        <v>5.49</v>
      </c>
      <c r="P18" s="13">
        <v>2.4</v>
      </c>
      <c r="Q18" s="14">
        <v>0</v>
      </c>
      <c r="R18" s="11">
        <f t="shared" si="2"/>
        <v>21.799999999999997</v>
      </c>
      <c r="S18" s="11">
        <f t="shared" si="3"/>
        <v>1.6697247706422016</v>
      </c>
      <c r="T18" s="11">
        <f t="shared" si="4"/>
        <v>1.248623853211009</v>
      </c>
      <c r="U18" s="12">
        <f t="shared" si="5"/>
        <v>1.4591743119266054</v>
      </c>
      <c r="V18" s="14">
        <v>69</v>
      </c>
      <c r="W18" s="11">
        <f t="shared" si="6"/>
        <v>47.2</v>
      </c>
      <c r="X18" s="13">
        <v>13</v>
      </c>
      <c r="Y18" s="13">
        <v>0.19</v>
      </c>
      <c r="Z18" s="11">
        <f t="shared" ref="Z18:Z31" si="12">SUM(X18:Y18)</f>
        <v>13.19</v>
      </c>
      <c r="AA18" s="11">
        <f t="shared" si="8"/>
        <v>27.944915254237284</v>
      </c>
      <c r="AB18" s="11">
        <v>0.20487804878048782</v>
      </c>
      <c r="AC18" s="11">
        <f t="shared" si="9"/>
        <v>0.29895278585813384</v>
      </c>
    </row>
    <row r="19" spans="1:29" ht="57.6" x14ac:dyDescent="0.3">
      <c r="A19" s="15">
        <v>13</v>
      </c>
      <c r="B19" s="5" t="s">
        <v>42</v>
      </c>
      <c r="C19" s="16" t="s">
        <v>44</v>
      </c>
      <c r="D19" s="17">
        <v>44986</v>
      </c>
      <c r="E19" s="11">
        <v>154</v>
      </c>
      <c r="F19" s="11">
        <f t="shared" si="0"/>
        <v>37.5</v>
      </c>
      <c r="G19" s="13">
        <v>6.35</v>
      </c>
      <c r="H19" s="13">
        <v>21.14</v>
      </c>
      <c r="I19" s="13">
        <v>0.22</v>
      </c>
      <c r="J19" s="13">
        <v>0.75</v>
      </c>
      <c r="K19" s="13">
        <v>1.75</v>
      </c>
      <c r="L19" s="11">
        <f t="shared" si="11"/>
        <v>30.21</v>
      </c>
      <c r="M19" s="14">
        <v>18</v>
      </c>
      <c r="N19" s="14">
        <v>7.0000000000000007E-2</v>
      </c>
      <c r="O19" s="14">
        <v>4.8</v>
      </c>
      <c r="P19" s="13">
        <v>2.4</v>
      </c>
      <c r="Q19" s="14">
        <v>0</v>
      </c>
      <c r="R19" s="11">
        <f t="shared" si="2"/>
        <v>25.27</v>
      </c>
      <c r="S19" s="11">
        <f t="shared" si="3"/>
        <v>1.1954887218045114</v>
      </c>
      <c r="T19" s="11">
        <f t="shared" si="4"/>
        <v>0.87495053423031266</v>
      </c>
      <c r="U19" s="12">
        <f t="shared" si="5"/>
        <v>1.035219628017412</v>
      </c>
      <c r="V19" s="14">
        <v>68</v>
      </c>
      <c r="W19" s="11">
        <f t="shared" si="6"/>
        <v>42.730000000000004</v>
      </c>
      <c r="X19" s="13">
        <v>15</v>
      </c>
      <c r="Y19" s="13">
        <v>7.0000000000000007E-2</v>
      </c>
      <c r="Z19" s="11">
        <f t="shared" si="12"/>
        <v>15.07</v>
      </c>
      <c r="AA19" s="11">
        <f t="shared" si="8"/>
        <v>35.267961619471095</v>
      </c>
      <c r="AB19" s="11">
        <v>0.30857142857142861</v>
      </c>
      <c r="AC19" s="11">
        <f t="shared" si="9"/>
        <v>0.3194391995025157</v>
      </c>
    </row>
    <row r="20" spans="1:29" ht="57.6" x14ac:dyDescent="0.3">
      <c r="A20" s="15">
        <v>13</v>
      </c>
      <c r="B20" s="5" t="s">
        <v>42</v>
      </c>
      <c r="C20" s="16" t="s">
        <v>45</v>
      </c>
      <c r="D20" s="17">
        <v>44621</v>
      </c>
      <c r="E20" s="11">
        <v>112</v>
      </c>
      <c r="F20" s="11">
        <f t="shared" si="0"/>
        <v>7.6923076923076925</v>
      </c>
      <c r="G20" s="13">
        <v>6.23</v>
      </c>
      <c r="H20" s="13">
        <v>26.4</v>
      </c>
      <c r="I20" s="13">
        <v>3.06</v>
      </c>
      <c r="J20" s="13">
        <v>0.11</v>
      </c>
      <c r="K20" s="13">
        <v>0.94</v>
      </c>
      <c r="L20" s="11">
        <f t="shared" si="11"/>
        <v>36.739999999999995</v>
      </c>
      <c r="M20" s="14">
        <v>15.99</v>
      </c>
      <c r="N20" s="14">
        <v>0</v>
      </c>
      <c r="O20" s="14">
        <v>2.67</v>
      </c>
      <c r="P20" s="13">
        <v>7.6</v>
      </c>
      <c r="Q20" s="14">
        <v>0</v>
      </c>
      <c r="R20" s="11">
        <f t="shared" si="2"/>
        <v>26.259999999999998</v>
      </c>
      <c r="S20" s="11">
        <f t="shared" si="3"/>
        <v>1.3990860624523991</v>
      </c>
      <c r="T20" s="11">
        <f t="shared" si="4"/>
        <v>1.1260472201066258</v>
      </c>
      <c r="U20" s="12">
        <f t="shared" si="5"/>
        <v>1.2625666412795125</v>
      </c>
      <c r="V20" s="14">
        <v>64</v>
      </c>
      <c r="W20" s="11">
        <f t="shared" si="6"/>
        <v>37.74</v>
      </c>
      <c r="X20" s="13">
        <v>2</v>
      </c>
      <c r="Y20" s="13">
        <v>0.05</v>
      </c>
      <c r="Z20" s="11">
        <f t="shared" si="12"/>
        <v>2.0499999999999998</v>
      </c>
      <c r="AA20" s="11">
        <f t="shared" si="8"/>
        <v>5.4319024907260189</v>
      </c>
      <c r="AB20" s="11">
        <v>0.68148148148148147</v>
      </c>
      <c r="AC20" s="11">
        <f t="shared" si="9"/>
        <v>0.86041578516826034</v>
      </c>
    </row>
    <row r="21" spans="1:29" ht="57.6" x14ac:dyDescent="0.3">
      <c r="A21" s="15">
        <v>13</v>
      </c>
      <c r="B21" s="5" t="s">
        <v>42</v>
      </c>
      <c r="C21" s="16" t="s">
        <v>46</v>
      </c>
      <c r="D21" s="17">
        <v>44256</v>
      </c>
      <c r="E21" s="11">
        <v>104</v>
      </c>
      <c r="F21" s="11">
        <v>4</v>
      </c>
      <c r="G21" s="13">
        <v>5.69</v>
      </c>
      <c r="H21" s="13">
        <v>32.950000000000003</v>
      </c>
      <c r="I21" s="13">
        <v>0.34</v>
      </c>
      <c r="J21" s="13">
        <v>0.4</v>
      </c>
      <c r="K21" s="13">
        <v>0.74</v>
      </c>
      <c r="L21" s="11">
        <f t="shared" si="11"/>
        <v>40.120000000000005</v>
      </c>
      <c r="M21" s="14">
        <v>18.739999999999998</v>
      </c>
      <c r="N21" s="14">
        <v>7.0000000000000007E-2</v>
      </c>
      <c r="O21" s="14">
        <v>4.29</v>
      </c>
      <c r="P21" s="13">
        <v>4.5999999999999996</v>
      </c>
      <c r="Q21" s="14">
        <v>0</v>
      </c>
      <c r="R21" s="11">
        <f t="shared" si="2"/>
        <v>27.699999999999996</v>
      </c>
      <c r="S21" s="11">
        <f t="shared" si="3"/>
        <v>1.4483754512635383</v>
      </c>
      <c r="T21" s="11">
        <f t="shared" si="4"/>
        <v>1.2162454873646213</v>
      </c>
      <c r="U21" s="12">
        <f t="shared" si="5"/>
        <v>1.3323104693140797</v>
      </c>
      <c r="V21" s="14">
        <v>56</v>
      </c>
      <c r="W21" s="11">
        <f t="shared" si="6"/>
        <v>28.300000000000004</v>
      </c>
      <c r="X21" s="13">
        <v>5</v>
      </c>
      <c r="Y21" s="13">
        <v>0.05</v>
      </c>
      <c r="Z21" s="11">
        <f t="shared" si="12"/>
        <v>5.05</v>
      </c>
      <c r="AA21" s="11">
        <f t="shared" si="8"/>
        <v>17.844522968197875</v>
      </c>
      <c r="AB21" s="11">
        <v>0.1739285714285714</v>
      </c>
      <c r="AC21" s="11">
        <f t="shared" si="9"/>
        <v>0.23172685662712741</v>
      </c>
    </row>
    <row r="22" spans="1:29" ht="43.2" x14ac:dyDescent="0.3">
      <c r="A22" s="15">
        <v>14</v>
      </c>
      <c r="B22" s="5" t="s">
        <v>47</v>
      </c>
      <c r="C22" s="16">
        <v>509162</v>
      </c>
      <c r="D22" s="17">
        <v>45717</v>
      </c>
      <c r="E22" s="13">
        <v>225</v>
      </c>
      <c r="F22" s="11">
        <f t="shared" si="0"/>
        <v>-10.358565737051793</v>
      </c>
      <c r="G22" s="13">
        <v>45.16</v>
      </c>
      <c r="H22" s="13">
        <v>25.11</v>
      </c>
      <c r="I22" s="13">
        <v>2.57</v>
      </c>
      <c r="J22" s="13">
        <v>2.0099999999999998</v>
      </c>
      <c r="K22" s="13">
        <v>9.06</v>
      </c>
      <c r="L22" s="11">
        <f t="shared" si="11"/>
        <v>83.91</v>
      </c>
      <c r="M22" s="14">
        <v>21.31</v>
      </c>
      <c r="N22" s="14">
        <v>0.67</v>
      </c>
      <c r="O22" s="14">
        <v>11.78</v>
      </c>
      <c r="P22" s="14">
        <v>0</v>
      </c>
      <c r="Q22" s="13">
        <v>5.52</v>
      </c>
      <c r="R22" s="11">
        <f t="shared" si="2"/>
        <v>39.28</v>
      </c>
      <c r="S22" s="11">
        <f t="shared" si="3"/>
        <v>2.136201629327902</v>
      </c>
      <c r="T22" s="11">
        <f t="shared" si="4"/>
        <v>0.75585539714867611</v>
      </c>
      <c r="U22" s="12">
        <f t="shared" si="5"/>
        <v>1.4460285132382891</v>
      </c>
      <c r="V22" s="11">
        <v>269</v>
      </c>
      <c r="W22" s="11">
        <f t="shared" si="6"/>
        <v>229.72</v>
      </c>
      <c r="X22" s="11">
        <v>5</v>
      </c>
      <c r="Y22" s="11">
        <v>12.02</v>
      </c>
      <c r="Z22" s="11">
        <f t="shared" si="12"/>
        <v>17.02</v>
      </c>
      <c r="AA22" s="11">
        <f t="shared" si="8"/>
        <v>7.4090196761274596</v>
      </c>
      <c r="AB22" s="11">
        <v>2.3956521739130435E-2</v>
      </c>
      <c r="AC22" s="11">
        <f t="shared" si="9"/>
        <v>3.4641813512795536E-2</v>
      </c>
    </row>
    <row r="23" spans="1:29" ht="43.2" x14ac:dyDescent="0.3">
      <c r="A23" s="15">
        <v>14</v>
      </c>
      <c r="B23" s="5" t="s">
        <v>47</v>
      </c>
      <c r="C23" s="16">
        <v>509162</v>
      </c>
      <c r="D23" s="17">
        <v>45352</v>
      </c>
      <c r="E23" s="13">
        <v>251</v>
      </c>
      <c r="F23" s="11">
        <f t="shared" si="0"/>
        <v>2.8688524590163933</v>
      </c>
      <c r="G23" s="13">
        <v>39.49</v>
      </c>
      <c r="H23" s="13">
        <v>25.73</v>
      </c>
      <c r="I23" s="13">
        <v>4.53</v>
      </c>
      <c r="J23" s="13">
        <v>2.85</v>
      </c>
      <c r="K23" s="13">
        <v>9.19</v>
      </c>
      <c r="L23" s="11">
        <f t="shared" si="11"/>
        <v>81.789999999999992</v>
      </c>
      <c r="M23" s="14">
        <v>19.73</v>
      </c>
      <c r="N23" s="14">
        <v>0.46</v>
      </c>
      <c r="O23" s="14">
        <v>9.8800000000000008</v>
      </c>
      <c r="P23" s="14">
        <v>0</v>
      </c>
      <c r="Q23" s="13">
        <v>5.94</v>
      </c>
      <c r="R23" s="11">
        <f t="shared" si="2"/>
        <v>36.01</v>
      </c>
      <c r="S23" s="11">
        <f t="shared" si="3"/>
        <v>2.2713135240211053</v>
      </c>
      <c r="T23" s="11">
        <f t="shared" si="4"/>
        <v>0.91946681477367387</v>
      </c>
      <c r="U23" s="12">
        <f t="shared" si="5"/>
        <v>1.5953901693973895</v>
      </c>
      <c r="V23" s="11">
        <v>263</v>
      </c>
      <c r="W23" s="11">
        <f t="shared" si="6"/>
        <v>226.99</v>
      </c>
      <c r="X23" s="11">
        <v>18</v>
      </c>
      <c r="Y23" s="11">
        <v>10.039999999999999</v>
      </c>
      <c r="Z23" s="11">
        <f t="shared" si="12"/>
        <v>28.04</v>
      </c>
      <c r="AA23" s="11">
        <f t="shared" si="8"/>
        <v>12.352967091061279</v>
      </c>
      <c r="AB23" s="11">
        <v>2.6167400881057269E-2</v>
      </c>
      <c r="AC23" s="11">
        <f t="shared" si="9"/>
        <v>4.1747214124319358E-2</v>
      </c>
    </row>
    <row r="24" spans="1:29" ht="43.2" x14ac:dyDescent="0.3">
      <c r="A24" s="15">
        <v>14</v>
      </c>
      <c r="B24" s="5" t="s">
        <v>47</v>
      </c>
      <c r="C24" s="16">
        <v>509162</v>
      </c>
      <c r="D24" s="17">
        <v>44986</v>
      </c>
      <c r="E24" s="13">
        <v>244</v>
      </c>
      <c r="F24" s="11">
        <f t="shared" si="0"/>
        <v>46.107784431137723</v>
      </c>
      <c r="G24" s="13">
        <v>42.17</v>
      </c>
      <c r="H24" s="13">
        <v>29.3</v>
      </c>
      <c r="I24" s="13">
        <v>2.3199999999999998</v>
      </c>
      <c r="J24" s="13">
        <v>3.06</v>
      </c>
      <c r="K24" s="13">
        <v>9.44</v>
      </c>
      <c r="L24" s="11">
        <f t="shared" si="11"/>
        <v>86.289999999999992</v>
      </c>
      <c r="M24" s="14">
        <v>22.81</v>
      </c>
      <c r="N24" s="14">
        <v>0.5</v>
      </c>
      <c r="O24" s="14">
        <v>9.65</v>
      </c>
      <c r="P24" s="14">
        <v>0</v>
      </c>
      <c r="Q24" s="13">
        <v>6.33</v>
      </c>
      <c r="R24" s="11">
        <f t="shared" si="2"/>
        <v>39.29</v>
      </c>
      <c r="S24" s="11">
        <f t="shared" si="3"/>
        <v>2.1962331382031048</v>
      </c>
      <c r="T24" s="11">
        <f t="shared" si="4"/>
        <v>0.88266734538050373</v>
      </c>
      <c r="U24" s="12">
        <f t="shared" si="5"/>
        <v>1.5394502417918043</v>
      </c>
      <c r="V24" s="11">
        <v>251</v>
      </c>
      <c r="W24" s="11">
        <f t="shared" si="6"/>
        <v>211.71</v>
      </c>
      <c r="X24" s="11">
        <v>14</v>
      </c>
      <c r="Y24" s="11">
        <v>8.39</v>
      </c>
      <c r="Z24" s="11">
        <f t="shared" si="12"/>
        <v>22.39</v>
      </c>
      <c r="AA24" s="11">
        <f t="shared" si="8"/>
        <v>10.57578763402768</v>
      </c>
      <c r="AB24" s="11">
        <v>2.9858490566037735E-2</v>
      </c>
      <c r="AC24" s="11">
        <f t="shared" si="9"/>
        <v>4.5965660521425103E-2</v>
      </c>
    </row>
    <row r="25" spans="1:29" ht="43.2" x14ac:dyDescent="0.3">
      <c r="A25" s="15">
        <v>14</v>
      </c>
      <c r="B25" s="5" t="s">
        <v>47</v>
      </c>
      <c r="C25" s="16">
        <v>509162</v>
      </c>
      <c r="D25" s="17">
        <v>44621</v>
      </c>
      <c r="E25" s="13">
        <v>167</v>
      </c>
      <c r="F25" s="11">
        <f t="shared" si="0"/>
        <v>-1.7647058823529411</v>
      </c>
      <c r="G25" s="13">
        <v>39.22</v>
      </c>
      <c r="H25" s="13">
        <v>22.6</v>
      </c>
      <c r="I25" s="13">
        <v>2.4300000000000002</v>
      </c>
      <c r="J25" s="13">
        <v>2.73</v>
      </c>
      <c r="K25" s="13">
        <v>8.34</v>
      </c>
      <c r="L25" s="11">
        <f t="shared" si="11"/>
        <v>75.320000000000007</v>
      </c>
      <c r="M25" s="14">
        <v>16.649999999999999</v>
      </c>
      <c r="N25" s="14">
        <v>0.28000000000000003</v>
      </c>
      <c r="O25" s="14">
        <v>10.33</v>
      </c>
      <c r="P25" s="14">
        <v>0</v>
      </c>
      <c r="Q25" s="13">
        <v>0</v>
      </c>
      <c r="R25" s="11">
        <f t="shared" si="2"/>
        <v>27.259999999999998</v>
      </c>
      <c r="S25" s="11">
        <f t="shared" si="3"/>
        <v>2.7630227439471757</v>
      </c>
      <c r="T25" s="11">
        <f t="shared" si="4"/>
        <v>1.0183418928833459</v>
      </c>
      <c r="U25" s="12">
        <f t="shared" si="5"/>
        <v>1.8906823184152608</v>
      </c>
      <c r="V25" s="11">
        <v>234</v>
      </c>
      <c r="W25" s="11">
        <f t="shared" si="6"/>
        <v>206.74</v>
      </c>
      <c r="X25" s="11">
        <v>1</v>
      </c>
      <c r="Y25" s="11">
        <v>6.4</v>
      </c>
      <c r="Z25" s="11">
        <f t="shared" si="12"/>
        <v>7.4</v>
      </c>
      <c r="AA25" s="11">
        <f t="shared" si="8"/>
        <v>3.5793750604624162</v>
      </c>
      <c r="AB25" s="11">
        <v>0</v>
      </c>
      <c r="AC25" s="11">
        <f t="shared" si="9"/>
        <v>0</v>
      </c>
    </row>
    <row r="26" spans="1:29" ht="43.2" x14ac:dyDescent="0.3">
      <c r="A26" s="15">
        <v>14</v>
      </c>
      <c r="B26" s="5" t="s">
        <v>47</v>
      </c>
      <c r="C26" s="16">
        <v>509162</v>
      </c>
      <c r="D26" s="17">
        <v>44256</v>
      </c>
      <c r="E26" s="13">
        <v>170</v>
      </c>
      <c r="F26" s="11">
        <v>-9.0909090909090917</v>
      </c>
      <c r="G26" s="13">
        <v>35.99</v>
      </c>
      <c r="H26" s="13">
        <v>29.46</v>
      </c>
      <c r="I26" s="13">
        <v>3.6</v>
      </c>
      <c r="J26" s="13">
        <v>1.52</v>
      </c>
      <c r="K26" s="13">
        <v>12.56</v>
      </c>
      <c r="L26" s="11">
        <f t="shared" si="11"/>
        <v>83.13</v>
      </c>
      <c r="M26" s="14">
        <v>15.2</v>
      </c>
      <c r="N26" s="14">
        <v>0.24</v>
      </c>
      <c r="O26" s="14">
        <v>9.57</v>
      </c>
      <c r="P26" s="14">
        <v>0</v>
      </c>
      <c r="Q26" s="13">
        <v>0</v>
      </c>
      <c r="R26" s="11">
        <f t="shared" si="2"/>
        <v>25.009999999999998</v>
      </c>
      <c r="S26" s="11">
        <f t="shared" si="3"/>
        <v>3.3238704518192725</v>
      </c>
      <c r="T26" s="11">
        <f t="shared" si="4"/>
        <v>1.3826469412235103</v>
      </c>
      <c r="U26" s="12">
        <f t="shared" si="5"/>
        <v>2.3532586965213915</v>
      </c>
      <c r="V26" s="11">
        <v>222</v>
      </c>
      <c r="W26" s="11">
        <f t="shared" si="6"/>
        <v>196.99</v>
      </c>
      <c r="X26" s="11">
        <v>17</v>
      </c>
      <c r="Y26" s="11">
        <v>4.04</v>
      </c>
      <c r="Z26" s="11">
        <f t="shared" si="12"/>
        <v>21.04</v>
      </c>
      <c r="AA26" s="11">
        <f t="shared" si="8"/>
        <v>10.680745215493172</v>
      </c>
      <c r="AB26" s="11">
        <v>0</v>
      </c>
      <c r="AC26" s="11">
        <f t="shared" si="9"/>
        <v>0</v>
      </c>
    </row>
    <row r="27" spans="1:29" ht="43.2" x14ac:dyDescent="0.3">
      <c r="A27" s="15">
        <v>15</v>
      </c>
      <c r="B27" s="5" t="s">
        <v>48</v>
      </c>
      <c r="C27" s="9">
        <v>513532</v>
      </c>
      <c r="D27" s="17">
        <v>45717</v>
      </c>
      <c r="E27" s="7">
        <v>294</v>
      </c>
      <c r="F27" s="11">
        <f t="shared" si="0"/>
        <v>17.131474103585656</v>
      </c>
      <c r="G27" s="7">
        <v>51</v>
      </c>
      <c r="H27" s="7">
        <v>83</v>
      </c>
      <c r="I27" s="7">
        <v>0</v>
      </c>
      <c r="J27" s="7">
        <v>7</v>
      </c>
      <c r="K27" s="7">
        <v>9</v>
      </c>
      <c r="L27" s="11">
        <f t="shared" si="11"/>
        <v>150</v>
      </c>
      <c r="M27" s="8">
        <v>40.450000000000003</v>
      </c>
      <c r="N27" s="8">
        <v>0.11</v>
      </c>
      <c r="O27" s="8">
        <v>18.2</v>
      </c>
      <c r="P27" s="7">
        <v>52.05</v>
      </c>
      <c r="Q27" s="7">
        <v>1</v>
      </c>
      <c r="R27" s="11">
        <f t="shared" si="2"/>
        <v>111.81</v>
      </c>
      <c r="S27" s="11">
        <f t="shared" si="3"/>
        <v>1.3415615776764154</v>
      </c>
      <c r="T27" s="11">
        <f t="shared" si="4"/>
        <v>0.80493694660584925</v>
      </c>
      <c r="U27" s="12">
        <f t="shared" si="5"/>
        <v>1.0732492621411323</v>
      </c>
      <c r="V27" s="8">
        <v>264</v>
      </c>
      <c r="W27" s="11">
        <f t="shared" si="6"/>
        <v>152.19</v>
      </c>
      <c r="X27" s="6">
        <v>40</v>
      </c>
      <c r="Y27" s="6">
        <v>3.77</v>
      </c>
      <c r="Z27" s="11">
        <f t="shared" si="12"/>
        <v>43.77</v>
      </c>
      <c r="AA27" s="11">
        <f t="shared" si="8"/>
        <v>28.760102503449637</v>
      </c>
      <c r="AB27" s="11">
        <v>0.45014184397163121</v>
      </c>
      <c r="AC27" s="11">
        <f t="shared" si="9"/>
        <v>0.48311440190140187</v>
      </c>
    </row>
    <row r="28" spans="1:29" ht="43.2" x14ac:dyDescent="0.3">
      <c r="A28" s="15">
        <v>15</v>
      </c>
      <c r="B28" s="5" t="s">
        <v>48</v>
      </c>
      <c r="C28" s="9">
        <v>513532</v>
      </c>
      <c r="D28" s="17">
        <v>45352</v>
      </c>
      <c r="E28" s="7">
        <v>251</v>
      </c>
      <c r="F28" s="11">
        <f t="shared" si="0"/>
        <v>2.0325203252032522</v>
      </c>
      <c r="G28" s="7">
        <v>43</v>
      </c>
      <c r="H28" s="7">
        <v>75</v>
      </c>
      <c r="I28" s="7">
        <v>1</v>
      </c>
      <c r="J28" s="7">
        <v>6</v>
      </c>
      <c r="K28" s="7">
        <v>35</v>
      </c>
      <c r="L28" s="11">
        <f t="shared" si="11"/>
        <v>160</v>
      </c>
      <c r="M28" s="8">
        <v>34</v>
      </c>
      <c r="N28" s="8">
        <v>0.08</v>
      </c>
      <c r="O28" s="8">
        <v>15.45</v>
      </c>
      <c r="P28" s="7">
        <v>49.95</v>
      </c>
      <c r="Q28" s="7">
        <v>1.26</v>
      </c>
      <c r="R28" s="11">
        <f t="shared" si="2"/>
        <v>100.74000000000001</v>
      </c>
      <c r="S28" s="11">
        <f t="shared" si="3"/>
        <v>1.5882469724042088</v>
      </c>
      <c r="T28" s="11">
        <f t="shared" si="4"/>
        <v>0.81397657335715701</v>
      </c>
      <c r="U28" s="12">
        <f t="shared" si="5"/>
        <v>1.2011117728806828</v>
      </c>
      <c r="V28" s="8">
        <v>235</v>
      </c>
      <c r="W28" s="11">
        <f t="shared" si="6"/>
        <v>134.26</v>
      </c>
      <c r="X28" s="6">
        <v>33</v>
      </c>
      <c r="Y28" s="6">
        <v>4.91</v>
      </c>
      <c r="Z28" s="11">
        <f t="shared" si="12"/>
        <v>37.909999999999997</v>
      </c>
      <c r="AA28" s="11">
        <f t="shared" si="8"/>
        <v>28.236258006852378</v>
      </c>
      <c r="AB28" s="11">
        <v>0.52139344262295084</v>
      </c>
      <c r="AC28" s="11">
        <f t="shared" si="9"/>
        <v>0.6262518022372151</v>
      </c>
    </row>
    <row r="29" spans="1:29" ht="43.2" x14ac:dyDescent="0.3">
      <c r="A29" s="15">
        <v>15</v>
      </c>
      <c r="B29" s="5" t="s">
        <v>48</v>
      </c>
      <c r="C29" s="9">
        <v>513532</v>
      </c>
      <c r="D29" s="17">
        <v>44986</v>
      </c>
      <c r="E29" s="7">
        <v>246</v>
      </c>
      <c r="F29" s="11">
        <f t="shared" si="0"/>
        <v>18.840579710144926</v>
      </c>
      <c r="G29" s="7">
        <v>39</v>
      </c>
      <c r="H29" s="7">
        <v>62</v>
      </c>
      <c r="I29" s="7">
        <v>1</v>
      </c>
      <c r="J29" s="7">
        <v>4</v>
      </c>
      <c r="K29" s="7">
        <v>36</v>
      </c>
      <c r="L29" s="11">
        <f t="shared" si="11"/>
        <v>142</v>
      </c>
      <c r="M29" s="8">
        <v>23.82</v>
      </c>
      <c r="N29" s="8">
        <v>0</v>
      </c>
      <c r="O29" s="8">
        <v>14.61</v>
      </c>
      <c r="P29" s="7">
        <v>48.67</v>
      </c>
      <c r="Q29" s="7">
        <v>0.06</v>
      </c>
      <c r="R29" s="11">
        <f t="shared" si="2"/>
        <v>87.16</v>
      </c>
      <c r="S29" s="11">
        <f t="shared" si="3"/>
        <v>1.6291877007801745</v>
      </c>
      <c r="T29" s="11">
        <f t="shared" si="4"/>
        <v>0.76870123910050481</v>
      </c>
      <c r="U29" s="12">
        <f t="shared" si="5"/>
        <v>1.1989444699403395</v>
      </c>
      <c r="V29" s="8">
        <v>205</v>
      </c>
      <c r="W29" s="11">
        <f t="shared" si="6"/>
        <v>117.84</v>
      </c>
      <c r="X29" s="6">
        <v>34</v>
      </c>
      <c r="Y29" s="6">
        <v>4.21</v>
      </c>
      <c r="Z29" s="11">
        <f t="shared" si="12"/>
        <v>38.21</v>
      </c>
      <c r="AA29" s="11">
        <f t="shared" si="8"/>
        <v>32.425322471147318</v>
      </c>
      <c r="AB29" s="11">
        <v>0.5727358490566038</v>
      </c>
      <c r="AC29" s="11">
        <f t="shared" si="9"/>
        <v>0.68667847896300016</v>
      </c>
    </row>
    <row r="30" spans="1:29" ht="43.2" x14ac:dyDescent="0.3">
      <c r="A30" s="15">
        <v>15</v>
      </c>
      <c r="B30" s="5" t="s">
        <v>48</v>
      </c>
      <c r="C30" s="9">
        <v>513532</v>
      </c>
      <c r="D30" s="17">
        <v>44621</v>
      </c>
      <c r="E30" s="7">
        <v>207</v>
      </c>
      <c r="F30" s="11">
        <f t="shared" si="0"/>
        <v>46.808510638297875</v>
      </c>
      <c r="G30" s="7">
        <v>34</v>
      </c>
      <c r="H30" s="7">
        <v>60</v>
      </c>
      <c r="I30" s="7">
        <v>0</v>
      </c>
      <c r="J30" s="7">
        <v>5</v>
      </c>
      <c r="K30" s="7">
        <v>30</v>
      </c>
      <c r="L30" s="11">
        <f t="shared" si="11"/>
        <v>129</v>
      </c>
      <c r="M30" s="8">
        <v>21.37</v>
      </c>
      <c r="N30" s="8">
        <v>0</v>
      </c>
      <c r="O30" s="8">
        <v>12.74</v>
      </c>
      <c r="P30" s="7">
        <v>48.94</v>
      </c>
      <c r="Q30" s="7">
        <v>0.4</v>
      </c>
      <c r="R30" s="11">
        <f t="shared" si="2"/>
        <v>83.45</v>
      </c>
      <c r="S30" s="11">
        <f t="shared" si="3"/>
        <v>1.5458358298382264</v>
      </c>
      <c r="T30" s="11">
        <f t="shared" si="4"/>
        <v>0.77890952666267221</v>
      </c>
      <c r="U30" s="12">
        <f t="shared" si="5"/>
        <v>1.1623726782504493</v>
      </c>
      <c r="V30" s="8">
        <v>190</v>
      </c>
      <c r="W30" s="11">
        <f t="shared" si="6"/>
        <v>106.55</v>
      </c>
      <c r="X30" s="6">
        <v>26</v>
      </c>
      <c r="Y30" s="6">
        <v>5.65</v>
      </c>
      <c r="Z30" s="11">
        <f t="shared" si="12"/>
        <v>31.65</v>
      </c>
      <c r="AA30" s="11">
        <f t="shared" si="8"/>
        <v>29.704364148287187</v>
      </c>
      <c r="AB30" s="11">
        <v>0.69434782608695644</v>
      </c>
      <c r="AC30" s="11">
        <f t="shared" si="9"/>
        <v>0.80709094224607281</v>
      </c>
    </row>
    <row r="31" spans="1:29" ht="43.2" x14ac:dyDescent="0.3">
      <c r="A31" s="15">
        <v>15</v>
      </c>
      <c r="B31" s="5" t="s">
        <v>48</v>
      </c>
      <c r="C31" s="9">
        <v>513532</v>
      </c>
      <c r="D31" s="17">
        <v>44256</v>
      </c>
      <c r="E31" s="7">
        <v>141</v>
      </c>
      <c r="F31" s="21">
        <v>-19.886363636363637</v>
      </c>
      <c r="G31" s="7">
        <v>26</v>
      </c>
      <c r="H31" s="7">
        <v>46</v>
      </c>
      <c r="I31" s="7">
        <v>0</v>
      </c>
      <c r="J31" s="7">
        <v>3</v>
      </c>
      <c r="K31" s="7">
        <v>25</v>
      </c>
      <c r="L31" s="11">
        <f t="shared" si="11"/>
        <v>100</v>
      </c>
      <c r="M31" s="8">
        <v>18.329999999999998</v>
      </c>
      <c r="N31" s="8">
        <v>0</v>
      </c>
      <c r="O31" s="8">
        <v>11.4</v>
      </c>
      <c r="P31" s="7">
        <v>34.479999999999997</v>
      </c>
      <c r="Q31" s="7">
        <v>0.69</v>
      </c>
      <c r="R31" s="11">
        <f t="shared" si="2"/>
        <v>64.899999999999991</v>
      </c>
      <c r="S31" s="11">
        <f t="shared" si="3"/>
        <v>1.5408320493066259</v>
      </c>
      <c r="T31" s="11">
        <f t="shared" si="4"/>
        <v>0.75500770416024665</v>
      </c>
      <c r="U31" s="12">
        <f t="shared" si="5"/>
        <v>1.1479198767334362</v>
      </c>
      <c r="V31" s="8">
        <v>164</v>
      </c>
      <c r="W31" s="11">
        <f t="shared" si="6"/>
        <v>99.100000000000009</v>
      </c>
      <c r="X31" s="6">
        <v>20</v>
      </c>
      <c r="Y31" s="6">
        <v>2.1800000000000002</v>
      </c>
      <c r="Z31" s="11">
        <f t="shared" si="12"/>
        <v>22.18</v>
      </c>
      <c r="AA31" s="11">
        <f t="shared" si="8"/>
        <v>22.381432896064581</v>
      </c>
      <c r="AB31" s="11">
        <v>0.67799999999999983</v>
      </c>
      <c r="AC31" s="11">
        <f t="shared" si="9"/>
        <v>0.77828967642526958</v>
      </c>
    </row>
    <row r="32" spans="1:29" x14ac:dyDescent="0.3">
      <c r="A32" s="15">
        <v>15</v>
      </c>
      <c r="B32" s="22"/>
      <c r="C32" s="23"/>
      <c r="D32" s="18"/>
      <c r="F32" s="19"/>
    </row>
    <row r="35" spans="1:22" x14ac:dyDescent="0.3">
      <c r="V35" s="12"/>
    </row>
    <row r="36" spans="1:22" x14ac:dyDescent="0.3">
      <c r="B36" s="78" t="s">
        <v>32</v>
      </c>
      <c r="C36" s="78"/>
      <c r="D36" s="78"/>
      <c r="E36" s="78"/>
      <c r="F36" s="78"/>
      <c r="G36" s="78"/>
      <c r="H36" s="78"/>
      <c r="I36" s="78"/>
    </row>
    <row r="37" spans="1:22" ht="43.2" x14ac:dyDescent="0.3">
      <c r="A37" s="15" t="s">
        <v>1</v>
      </c>
      <c r="B37" s="2" t="s">
        <v>2</v>
      </c>
      <c r="C37" s="2" t="s">
        <v>33</v>
      </c>
      <c r="D37" s="2" t="s">
        <v>4</v>
      </c>
      <c r="E37" s="2" t="s">
        <v>34</v>
      </c>
      <c r="F37" s="2" t="s">
        <v>16</v>
      </c>
      <c r="G37" s="2" t="s">
        <v>17</v>
      </c>
      <c r="H37" s="2" t="s">
        <v>35</v>
      </c>
      <c r="I37" s="2" t="s">
        <v>36</v>
      </c>
      <c r="J37" s="2" t="s">
        <v>37</v>
      </c>
      <c r="K37" s="2" t="s">
        <v>38</v>
      </c>
      <c r="L37" s="2" t="s">
        <v>39</v>
      </c>
      <c r="M37" s="2" t="s">
        <v>28</v>
      </c>
    </row>
    <row r="38" spans="1:22" ht="57.6" x14ac:dyDescent="0.3">
      <c r="A38" s="15">
        <v>11</v>
      </c>
      <c r="B38" s="5" t="s">
        <v>31</v>
      </c>
      <c r="C38" s="16" t="s">
        <v>30</v>
      </c>
      <c r="D38" s="17">
        <v>45717</v>
      </c>
      <c r="E38" s="13">
        <v>0.21</v>
      </c>
      <c r="F38" s="13">
        <v>3.44</v>
      </c>
      <c r="G38" s="11">
        <v>0</v>
      </c>
      <c r="H38" s="13">
        <v>0.15</v>
      </c>
      <c r="I38" s="11">
        <f>SUM(E38:H38)</f>
        <v>3.8</v>
      </c>
      <c r="J38" s="11">
        <v>15</v>
      </c>
      <c r="K38" s="11">
        <v>48</v>
      </c>
      <c r="L38" s="11">
        <f>J38+K38</f>
        <v>63</v>
      </c>
      <c r="M38" s="11">
        <f>I38/L38</f>
        <v>6.0317460317460311E-2</v>
      </c>
    </row>
    <row r="39" spans="1:22" ht="57.6" x14ac:dyDescent="0.3">
      <c r="A39" s="15">
        <v>11</v>
      </c>
      <c r="B39" s="5" t="s">
        <v>31</v>
      </c>
      <c r="C39" s="16" t="s">
        <v>30</v>
      </c>
      <c r="D39" s="17">
        <v>45352</v>
      </c>
      <c r="E39" s="13">
        <v>0.11</v>
      </c>
      <c r="F39" s="13">
        <v>5.62</v>
      </c>
      <c r="G39" s="11">
        <v>0</v>
      </c>
      <c r="H39" s="13">
        <v>0.15</v>
      </c>
      <c r="I39" s="11">
        <f t="shared" ref="I39:I62" si="13">SUM(E39:H39)</f>
        <v>5.8800000000000008</v>
      </c>
      <c r="J39" s="11">
        <v>15</v>
      </c>
      <c r="K39" s="11">
        <v>48</v>
      </c>
      <c r="L39" s="11">
        <f t="shared" ref="L39:L47" si="14">J39+K39</f>
        <v>63</v>
      </c>
      <c r="M39" s="11">
        <f t="shared" ref="M39:M62" si="15">I39/L39</f>
        <v>9.3333333333333351E-2</v>
      </c>
    </row>
    <row r="40" spans="1:22" ht="57.6" x14ac:dyDescent="0.3">
      <c r="A40" s="15">
        <v>11</v>
      </c>
      <c r="B40" s="5" t="s">
        <v>31</v>
      </c>
      <c r="C40" s="16" t="s">
        <v>30</v>
      </c>
      <c r="D40" s="17">
        <v>44986</v>
      </c>
      <c r="E40" s="13">
        <v>0.26</v>
      </c>
      <c r="F40" s="13">
        <v>4.91</v>
      </c>
      <c r="G40" s="11">
        <v>0</v>
      </c>
      <c r="H40" s="13">
        <v>1.1599999999999999</v>
      </c>
      <c r="I40" s="11">
        <f t="shared" si="13"/>
        <v>6.33</v>
      </c>
      <c r="J40" s="11">
        <v>15</v>
      </c>
      <c r="K40" s="11">
        <v>44</v>
      </c>
      <c r="L40" s="11">
        <f t="shared" si="14"/>
        <v>59</v>
      </c>
      <c r="M40" s="11">
        <f t="shared" si="15"/>
        <v>0.10728813559322034</v>
      </c>
    </row>
    <row r="41" spans="1:22" ht="57.6" x14ac:dyDescent="0.3">
      <c r="A41" s="15">
        <v>11</v>
      </c>
      <c r="B41" s="5" t="s">
        <v>31</v>
      </c>
      <c r="C41" s="16" t="s">
        <v>30</v>
      </c>
      <c r="D41" s="17">
        <v>44621</v>
      </c>
      <c r="E41" s="13">
        <v>2.34</v>
      </c>
      <c r="F41" s="13">
        <v>9.9499999999999993</v>
      </c>
      <c r="G41" s="11">
        <v>0</v>
      </c>
      <c r="H41" s="13">
        <v>2.48</v>
      </c>
      <c r="I41" s="11">
        <f t="shared" si="13"/>
        <v>14.77</v>
      </c>
      <c r="J41" s="11">
        <v>15</v>
      </c>
      <c r="K41" s="11">
        <v>45</v>
      </c>
      <c r="L41" s="11">
        <f t="shared" si="14"/>
        <v>60</v>
      </c>
      <c r="M41" s="11">
        <f t="shared" si="15"/>
        <v>0.24616666666666667</v>
      </c>
    </row>
    <row r="42" spans="1:22" ht="57.6" x14ac:dyDescent="0.3">
      <c r="A42" s="15">
        <v>11</v>
      </c>
      <c r="B42" s="5" t="s">
        <v>31</v>
      </c>
      <c r="C42" s="16" t="s">
        <v>30</v>
      </c>
      <c r="D42" s="17">
        <v>44256</v>
      </c>
      <c r="E42" s="13">
        <v>3.83</v>
      </c>
      <c r="F42" s="13">
        <v>7.29</v>
      </c>
      <c r="G42" s="11">
        <v>0</v>
      </c>
      <c r="H42" s="13">
        <v>3.1</v>
      </c>
      <c r="I42" s="11">
        <f t="shared" si="13"/>
        <v>14.22</v>
      </c>
      <c r="J42" s="11">
        <v>15</v>
      </c>
      <c r="K42" s="11">
        <v>45</v>
      </c>
      <c r="L42" s="11">
        <f t="shared" si="14"/>
        <v>60</v>
      </c>
      <c r="M42" s="11">
        <f t="shared" si="15"/>
        <v>0.23700000000000002</v>
      </c>
    </row>
    <row r="43" spans="1:22" ht="43.2" x14ac:dyDescent="0.3">
      <c r="A43" s="15">
        <v>12</v>
      </c>
      <c r="B43" s="5" t="s">
        <v>40</v>
      </c>
      <c r="C43" s="16">
        <v>513059</v>
      </c>
      <c r="D43" s="17">
        <v>45717</v>
      </c>
      <c r="E43" s="13">
        <v>9.27</v>
      </c>
      <c r="F43" s="13">
        <v>18.66</v>
      </c>
      <c r="G43" s="13">
        <v>0.2</v>
      </c>
      <c r="H43" s="13">
        <v>0.01</v>
      </c>
      <c r="I43" s="11">
        <f t="shared" si="13"/>
        <v>28.14</v>
      </c>
      <c r="J43" s="11">
        <v>7</v>
      </c>
      <c r="K43" s="11">
        <v>16</v>
      </c>
      <c r="L43" s="11">
        <f t="shared" si="14"/>
        <v>23</v>
      </c>
      <c r="M43" s="11">
        <f t="shared" si="15"/>
        <v>1.2234782608695653</v>
      </c>
    </row>
    <row r="44" spans="1:22" ht="43.2" x14ac:dyDescent="0.3">
      <c r="A44" s="15">
        <v>12</v>
      </c>
      <c r="B44" s="5" t="s">
        <v>40</v>
      </c>
      <c r="C44" s="16">
        <v>513059</v>
      </c>
      <c r="D44" s="17">
        <v>45352</v>
      </c>
      <c r="E44" s="13">
        <v>12.6</v>
      </c>
      <c r="F44" s="13">
        <v>21.23</v>
      </c>
      <c r="G44" s="13">
        <v>0.18</v>
      </c>
      <c r="H44" s="13">
        <v>0.01</v>
      </c>
      <c r="I44" s="11">
        <f t="shared" si="13"/>
        <v>34.019999999999996</v>
      </c>
      <c r="J44" s="11">
        <v>7</v>
      </c>
      <c r="K44" s="11">
        <v>15</v>
      </c>
      <c r="L44" s="11">
        <f t="shared" si="14"/>
        <v>22</v>
      </c>
      <c r="M44" s="11">
        <f t="shared" si="15"/>
        <v>1.5463636363636362</v>
      </c>
    </row>
    <row r="45" spans="1:22" ht="43.2" x14ac:dyDescent="0.3">
      <c r="A45" s="15">
        <v>12</v>
      </c>
      <c r="B45" s="5" t="s">
        <v>40</v>
      </c>
      <c r="C45" s="16">
        <v>513059</v>
      </c>
      <c r="D45" s="17">
        <v>44986</v>
      </c>
      <c r="E45" s="13">
        <v>17.690000000000001</v>
      </c>
      <c r="F45" s="13">
        <v>19</v>
      </c>
      <c r="G45" s="13">
        <v>0.17</v>
      </c>
      <c r="H45" s="13">
        <v>0.01</v>
      </c>
      <c r="I45" s="11">
        <f t="shared" si="13"/>
        <v>36.869999999999997</v>
      </c>
      <c r="J45" s="11">
        <v>7</v>
      </c>
      <c r="K45" s="11">
        <v>14</v>
      </c>
      <c r="L45" s="11">
        <f t="shared" si="14"/>
        <v>21</v>
      </c>
      <c r="M45" s="11">
        <f t="shared" si="15"/>
        <v>1.7557142857142856</v>
      </c>
    </row>
    <row r="46" spans="1:22" ht="43.2" x14ac:dyDescent="0.3">
      <c r="A46" s="15">
        <v>12</v>
      </c>
      <c r="B46" s="5" t="s">
        <v>40</v>
      </c>
      <c r="C46" s="16">
        <v>513059</v>
      </c>
      <c r="D46" s="17">
        <v>44621</v>
      </c>
      <c r="E46" s="13">
        <v>19.71</v>
      </c>
      <c r="F46" s="13">
        <v>17.07</v>
      </c>
      <c r="G46" s="13">
        <v>0.17</v>
      </c>
      <c r="H46" s="13">
        <v>-0.01</v>
      </c>
      <c r="I46" s="11">
        <f t="shared" si="13"/>
        <v>36.940000000000005</v>
      </c>
      <c r="J46" s="11">
        <v>7</v>
      </c>
      <c r="K46" s="11">
        <v>17</v>
      </c>
      <c r="L46" s="11">
        <f t="shared" si="14"/>
        <v>24</v>
      </c>
      <c r="M46" s="11">
        <f t="shared" si="15"/>
        <v>1.5391666666666668</v>
      </c>
    </row>
    <row r="47" spans="1:22" ht="43.2" x14ac:dyDescent="0.3">
      <c r="A47" s="15">
        <v>12</v>
      </c>
      <c r="B47" s="5" t="s">
        <v>40</v>
      </c>
      <c r="C47" s="16">
        <v>513059</v>
      </c>
      <c r="D47" s="17">
        <v>44256</v>
      </c>
      <c r="E47" s="13">
        <v>7.2</v>
      </c>
      <c r="F47" s="13">
        <v>27.39</v>
      </c>
      <c r="G47" s="13">
        <v>0.15</v>
      </c>
      <c r="H47" s="13">
        <v>0</v>
      </c>
      <c r="I47" s="11">
        <f t="shared" si="13"/>
        <v>34.74</v>
      </c>
      <c r="J47" s="11">
        <v>7</v>
      </c>
      <c r="K47" s="11">
        <v>20</v>
      </c>
      <c r="L47" s="11">
        <f t="shared" si="14"/>
        <v>27</v>
      </c>
      <c r="M47" s="11">
        <f t="shared" si="15"/>
        <v>1.2866666666666668</v>
      </c>
    </row>
    <row r="48" spans="1:22" ht="57.6" x14ac:dyDescent="0.3">
      <c r="A48" s="15">
        <v>13</v>
      </c>
      <c r="B48" s="5" t="s">
        <v>42</v>
      </c>
      <c r="C48" s="16" t="s">
        <v>41</v>
      </c>
      <c r="D48" s="17">
        <v>45717</v>
      </c>
      <c r="E48" s="13">
        <v>6.83</v>
      </c>
      <c r="F48" s="13">
        <v>4.34</v>
      </c>
      <c r="G48" s="13">
        <v>0</v>
      </c>
      <c r="H48" s="13">
        <v>0</v>
      </c>
      <c r="I48" s="11">
        <f t="shared" si="13"/>
        <v>11.17</v>
      </c>
      <c r="J48" s="11">
        <v>3</v>
      </c>
      <c r="K48" s="11">
        <v>44</v>
      </c>
      <c r="L48" s="11">
        <f>SUM(J48:K48)</f>
        <v>47</v>
      </c>
      <c r="M48" s="11">
        <f t="shared" si="15"/>
        <v>0.23765957446808511</v>
      </c>
    </row>
    <row r="49" spans="1:13" ht="57.6" x14ac:dyDescent="0.3">
      <c r="A49" s="15">
        <v>13</v>
      </c>
      <c r="B49" s="5" t="s">
        <v>42</v>
      </c>
      <c r="C49" s="16" t="s">
        <v>43</v>
      </c>
      <c r="D49" s="17">
        <v>45352</v>
      </c>
      <c r="E49" s="13">
        <v>6</v>
      </c>
      <c r="F49" s="13">
        <v>2.4</v>
      </c>
      <c r="G49" s="13">
        <v>0</v>
      </c>
      <c r="H49" s="13">
        <v>0</v>
      </c>
      <c r="I49" s="11">
        <f t="shared" si="13"/>
        <v>8.4</v>
      </c>
      <c r="J49" s="11">
        <v>3</v>
      </c>
      <c r="K49" s="11">
        <v>38</v>
      </c>
      <c r="L49" s="11">
        <f t="shared" ref="L49:L62" si="16">SUM(J49:K49)</f>
        <v>41</v>
      </c>
      <c r="M49" s="11">
        <f t="shared" si="15"/>
        <v>0.20487804878048782</v>
      </c>
    </row>
    <row r="50" spans="1:13" ht="57.6" x14ac:dyDescent="0.3">
      <c r="A50" s="15">
        <v>13</v>
      </c>
      <c r="B50" s="5" t="s">
        <v>42</v>
      </c>
      <c r="C50" s="16" t="s">
        <v>44</v>
      </c>
      <c r="D50" s="17">
        <v>44986</v>
      </c>
      <c r="E50" s="13">
        <v>8.4</v>
      </c>
      <c r="F50" s="13">
        <v>2.4</v>
      </c>
      <c r="G50" s="13">
        <v>0</v>
      </c>
      <c r="H50" s="13">
        <v>0</v>
      </c>
      <c r="I50" s="11">
        <f t="shared" si="13"/>
        <v>10.8</v>
      </c>
      <c r="J50" s="11">
        <v>3</v>
      </c>
      <c r="K50" s="11">
        <v>32</v>
      </c>
      <c r="L50" s="11">
        <f t="shared" si="16"/>
        <v>35</v>
      </c>
      <c r="M50" s="11">
        <f t="shared" si="15"/>
        <v>0.30857142857142861</v>
      </c>
    </row>
    <row r="51" spans="1:13" ht="57.6" x14ac:dyDescent="0.3">
      <c r="A51" s="15">
        <v>13</v>
      </c>
      <c r="B51" s="5" t="s">
        <v>42</v>
      </c>
      <c r="C51" s="16" t="s">
        <v>45</v>
      </c>
      <c r="D51" s="17">
        <v>44621</v>
      </c>
      <c r="E51" s="13">
        <v>10.8</v>
      </c>
      <c r="F51" s="13">
        <v>7.6</v>
      </c>
      <c r="G51" s="13">
        <v>0</v>
      </c>
      <c r="H51" s="13">
        <v>0</v>
      </c>
      <c r="I51" s="11">
        <f t="shared" si="13"/>
        <v>18.399999999999999</v>
      </c>
      <c r="J51" s="11">
        <v>3</v>
      </c>
      <c r="K51" s="11">
        <v>24</v>
      </c>
      <c r="L51" s="11">
        <f t="shared" si="16"/>
        <v>27</v>
      </c>
      <c r="M51" s="11">
        <f t="shared" si="15"/>
        <v>0.68148148148148147</v>
      </c>
    </row>
    <row r="52" spans="1:13" ht="57.6" x14ac:dyDescent="0.3">
      <c r="A52" s="15">
        <v>13</v>
      </c>
      <c r="B52" s="5" t="s">
        <v>42</v>
      </c>
      <c r="C52" s="16" t="s">
        <v>46</v>
      </c>
      <c r="D52" s="17">
        <v>44256</v>
      </c>
      <c r="E52" s="13">
        <v>0.27</v>
      </c>
      <c r="F52" s="13">
        <v>4.5999999999999996</v>
      </c>
      <c r="G52" s="13">
        <v>0</v>
      </c>
      <c r="H52" s="13">
        <v>0</v>
      </c>
      <c r="I52" s="11">
        <f t="shared" si="13"/>
        <v>4.8699999999999992</v>
      </c>
      <c r="J52" s="11">
        <v>3</v>
      </c>
      <c r="K52" s="11">
        <v>25</v>
      </c>
      <c r="L52" s="11">
        <f t="shared" si="16"/>
        <v>28</v>
      </c>
      <c r="M52" s="11">
        <f t="shared" si="15"/>
        <v>0.1739285714285714</v>
      </c>
    </row>
    <row r="53" spans="1:13" ht="43.2" x14ac:dyDescent="0.3">
      <c r="A53" s="15">
        <v>14</v>
      </c>
      <c r="B53" s="5" t="s">
        <v>47</v>
      </c>
      <c r="C53" s="16">
        <v>509162</v>
      </c>
      <c r="D53" s="17">
        <v>45717</v>
      </c>
      <c r="E53" s="14">
        <v>0</v>
      </c>
      <c r="F53" s="14">
        <v>0</v>
      </c>
      <c r="G53" s="13">
        <v>5.52</v>
      </c>
      <c r="H53" s="14">
        <v>-0.01</v>
      </c>
      <c r="I53" s="11">
        <f t="shared" si="13"/>
        <v>5.51</v>
      </c>
      <c r="J53" s="11">
        <v>5</v>
      </c>
      <c r="K53" s="11">
        <v>225</v>
      </c>
      <c r="L53" s="11">
        <f t="shared" si="16"/>
        <v>230</v>
      </c>
      <c r="M53" s="11">
        <f t="shared" si="15"/>
        <v>2.3956521739130435E-2</v>
      </c>
    </row>
    <row r="54" spans="1:13" ht="43.2" x14ac:dyDescent="0.3">
      <c r="A54" s="15">
        <v>14</v>
      </c>
      <c r="B54" s="5" t="s">
        <v>47</v>
      </c>
      <c r="C54" s="16">
        <v>509162</v>
      </c>
      <c r="D54" s="17">
        <v>45352</v>
      </c>
      <c r="E54" s="14">
        <v>0</v>
      </c>
      <c r="F54" s="14">
        <v>0</v>
      </c>
      <c r="G54" s="13">
        <v>5.94</v>
      </c>
      <c r="H54" s="14">
        <v>0</v>
      </c>
      <c r="I54" s="11">
        <f t="shared" si="13"/>
        <v>5.94</v>
      </c>
      <c r="J54" s="11">
        <v>5</v>
      </c>
      <c r="K54" s="11">
        <v>222</v>
      </c>
      <c r="L54" s="11">
        <f t="shared" si="16"/>
        <v>227</v>
      </c>
      <c r="M54" s="11">
        <f t="shared" si="15"/>
        <v>2.6167400881057269E-2</v>
      </c>
    </row>
    <row r="55" spans="1:13" ht="43.2" x14ac:dyDescent="0.3">
      <c r="A55" s="15">
        <v>14</v>
      </c>
      <c r="B55" s="5" t="s">
        <v>47</v>
      </c>
      <c r="C55" s="16">
        <v>509162</v>
      </c>
      <c r="D55" s="17">
        <v>44986</v>
      </c>
      <c r="E55" s="14">
        <v>0</v>
      </c>
      <c r="F55" s="14">
        <v>0</v>
      </c>
      <c r="G55" s="13">
        <v>6.33</v>
      </c>
      <c r="H55" s="14">
        <v>0</v>
      </c>
      <c r="I55" s="11">
        <f t="shared" si="13"/>
        <v>6.33</v>
      </c>
      <c r="J55" s="11">
        <v>5</v>
      </c>
      <c r="K55" s="11">
        <v>207</v>
      </c>
      <c r="L55" s="11">
        <f t="shared" si="16"/>
        <v>212</v>
      </c>
      <c r="M55" s="11">
        <f t="shared" si="15"/>
        <v>2.9858490566037735E-2</v>
      </c>
    </row>
    <row r="56" spans="1:13" ht="43.2" x14ac:dyDescent="0.3">
      <c r="A56" s="15">
        <v>14</v>
      </c>
      <c r="B56" s="5" t="s">
        <v>47</v>
      </c>
      <c r="C56" s="16">
        <v>509162</v>
      </c>
      <c r="D56" s="17">
        <v>44621</v>
      </c>
      <c r="E56" s="14">
        <v>0</v>
      </c>
      <c r="F56" s="14">
        <v>0</v>
      </c>
      <c r="G56" s="13">
        <v>0</v>
      </c>
      <c r="H56" s="14">
        <v>0</v>
      </c>
      <c r="I56" s="11">
        <f t="shared" si="13"/>
        <v>0</v>
      </c>
      <c r="J56" s="11">
        <v>5</v>
      </c>
      <c r="K56" s="11">
        <v>201</v>
      </c>
      <c r="L56" s="11">
        <f t="shared" si="16"/>
        <v>206</v>
      </c>
      <c r="M56" s="11">
        <f t="shared" si="15"/>
        <v>0</v>
      </c>
    </row>
    <row r="57" spans="1:13" ht="43.2" x14ac:dyDescent="0.3">
      <c r="A57" s="15">
        <v>14</v>
      </c>
      <c r="B57" s="5" t="s">
        <v>47</v>
      </c>
      <c r="C57" s="16">
        <v>509162</v>
      </c>
      <c r="D57" s="17">
        <v>44256</v>
      </c>
      <c r="E57" s="14">
        <v>0</v>
      </c>
      <c r="F57" s="14">
        <v>0</v>
      </c>
      <c r="G57" s="13">
        <v>0</v>
      </c>
      <c r="H57" s="14">
        <v>0</v>
      </c>
      <c r="I57" s="11">
        <f t="shared" si="13"/>
        <v>0</v>
      </c>
      <c r="J57" s="11">
        <v>5</v>
      </c>
      <c r="K57" s="11">
        <v>192</v>
      </c>
      <c r="L57" s="11">
        <f t="shared" si="16"/>
        <v>197</v>
      </c>
      <c r="M57" s="11">
        <f t="shared" si="15"/>
        <v>0</v>
      </c>
    </row>
    <row r="58" spans="1:13" ht="43.2" x14ac:dyDescent="0.3">
      <c r="A58" s="15">
        <v>15</v>
      </c>
      <c r="B58" s="5" t="s">
        <v>48</v>
      </c>
      <c r="C58" s="9">
        <v>513532</v>
      </c>
      <c r="D58" s="17">
        <v>45717</v>
      </c>
      <c r="E58" s="6">
        <v>10.42</v>
      </c>
      <c r="F58" s="6">
        <v>52.05</v>
      </c>
      <c r="G58" s="6">
        <v>1</v>
      </c>
      <c r="H58" s="6">
        <v>0</v>
      </c>
      <c r="I58" s="11">
        <f t="shared" si="13"/>
        <v>63.47</v>
      </c>
      <c r="J58" s="11">
        <v>17</v>
      </c>
      <c r="K58" s="11">
        <v>124</v>
      </c>
      <c r="L58" s="11">
        <f t="shared" si="16"/>
        <v>141</v>
      </c>
      <c r="M58" s="11">
        <f t="shared" si="15"/>
        <v>0.45014184397163121</v>
      </c>
    </row>
    <row r="59" spans="1:13" ht="43.2" x14ac:dyDescent="0.3">
      <c r="A59" s="15">
        <v>15</v>
      </c>
      <c r="B59" s="5" t="s">
        <v>48</v>
      </c>
      <c r="C59" s="9">
        <v>513532</v>
      </c>
      <c r="D59" s="17">
        <v>45352</v>
      </c>
      <c r="E59" s="6">
        <v>12.4</v>
      </c>
      <c r="F59" s="6">
        <v>49.95</v>
      </c>
      <c r="G59" s="6">
        <v>1.26</v>
      </c>
      <c r="H59" s="6">
        <v>0</v>
      </c>
      <c r="I59" s="11">
        <f t="shared" si="13"/>
        <v>63.61</v>
      </c>
      <c r="J59" s="11">
        <v>17</v>
      </c>
      <c r="K59" s="11">
        <v>105</v>
      </c>
      <c r="L59" s="11">
        <f t="shared" si="16"/>
        <v>122</v>
      </c>
      <c r="M59" s="11">
        <f t="shared" si="15"/>
        <v>0.52139344262295084</v>
      </c>
    </row>
    <row r="60" spans="1:13" ht="43.2" x14ac:dyDescent="0.3">
      <c r="A60" s="15">
        <v>15</v>
      </c>
      <c r="B60" s="5" t="s">
        <v>48</v>
      </c>
      <c r="C60" s="9">
        <v>513532</v>
      </c>
      <c r="D60" s="17">
        <v>44986</v>
      </c>
      <c r="E60" s="6">
        <v>11.98</v>
      </c>
      <c r="F60" s="6">
        <v>48.67</v>
      </c>
      <c r="G60" s="6">
        <v>0.06</v>
      </c>
      <c r="H60" s="6">
        <v>0</v>
      </c>
      <c r="I60" s="11">
        <f t="shared" si="13"/>
        <v>60.710000000000008</v>
      </c>
      <c r="J60" s="11">
        <v>17</v>
      </c>
      <c r="K60" s="11">
        <v>89</v>
      </c>
      <c r="L60" s="11">
        <f t="shared" si="16"/>
        <v>106</v>
      </c>
      <c r="M60" s="11">
        <f t="shared" si="15"/>
        <v>0.5727358490566038</v>
      </c>
    </row>
    <row r="61" spans="1:13" ht="43.2" x14ac:dyDescent="0.3">
      <c r="A61" s="15">
        <v>15</v>
      </c>
      <c r="B61" s="5" t="s">
        <v>48</v>
      </c>
      <c r="C61" s="9">
        <v>513532</v>
      </c>
      <c r="D61" s="17">
        <v>44621</v>
      </c>
      <c r="E61" s="6">
        <v>14.55</v>
      </c>
      <c r="F61" s="6">
        <v>48.94</v>
      </c>
      <c r="G61" s="6">
        <v>0.4</v>
      </c>
      <c r="H61" s="6">
        <v>-0.01</v>
      </c>
      <c r="I61" s="11">
        <f t="shared" si="13"/>
        <v>63.879999999999995</v>
      </c>
      <c r="J61" s="11">
        <v>17</v>
      </c>
      <c r="K61" s="11">
        <v>75</v>
      </c>
      <c r="L61" s="11">
        <f t="shared" si="16"/>
        <v>92</v>
      </c>
      <c r="M61" s="11">
        <f t="shared" si="15"/>
        <v>0.69434782608695644</v>
      </c>
    </row>
    <row r="62" spans="1:13" ht="43.2" x14ac:dyDescent="0.3">
      <c r="A62" s="15">
        <v>15</v>
      </c>
      <c r="B62" s="5" t="s">
        <v>48</v>
      </c>
      <c r="C62" s="9">
        <v>513532</v>
      </c>
      <c r="D62" s="17">
        <v>44256</v>
      </c>
      <c r="E62" s="6">
        <v>19.059999999999999</v>
      </c>
      <c r="F62" s="6">
        <v>34.479999999999997</v>
      </c>
      <c r="G62" s="6">
        <v>0.69</v>
      </c>
      <c r="H62" s="6">
        <v>0.01</v>
      </c>
      <c r="I62" s="11">
        <f t="shared" si="13"/>
        <v>54.239999999999988</v>
      </c>
      <c r="J62" s="11">
        <v>17</v>
      </c>
      <c r="K62" s="11">
        <v>63</v>
      </c>
      <c r="L62" s="11">
        <f t="shared" si="16"/>
        <v>80</v>
      </c>
      <c r="M62" s="11">
        <f t="shared" si="15"/>
        <v>0.67799999999999983</v>
      </c>
    </row>
  </sheetData>
  <mergeCells count="2">
    <mergeCell ref="C4:I4"/>
    <mergeCell ref="B36:I36"/>
  </mergeCells>
  <phoneticPr fontId="3" type="noConversion"/>
  <hyperlinks>
    <hyperlink ref="C7" r:id="rId1" display="https://www.bseindia.com/stock-share-price/porwal-auto-components-ltd/PORWAL/532933/" xr:uid="{4FBE6D21-21CE-4CB5-94BE-C3DF3ADCE911}"/>
    <hyperlink ref="C8:C11" r:id="rId2" display="https://www.bseindia.com/stock-share-price/porwal-auto-components-ltd/PORWAL/532933/" xr:uid="{4396FA92-E075-4BBF-9C4F-251E9872A0CE}"/>
    <hyperlink ref="C38" r:id="rId3" display="https://www.bseindia.com/stock-share-price/porwal-auto-components-ltd/PORWAL/532933/" xr:uid="{F67374B1-B939-4486-BEFD-B8C6FE96A88F}"/>
    <hyperlink ref="C39:C42" r:id="rId4" display="https://www.bseindia.com/stock-share-price/porwal-auto-components-ltd/PORWAL/532933/" xr:uid="{B53FA19A-66BE-43F1-97E5-E6918BF7F9E3}"/>
    <hyperlink ref="C12" r:id="rId5" display="https://www.bseindia.com/stock-share-price/g-s-auto-international-ltd/GSAUTO/513059/" xr:uid="{C9D3C429-8941-4867-B241-4AF49758FA98}"/>
    <hyperlink ref="C13:C16" r:id="rId6" display="https://www.bseindia.com/stock-share-price/g-s-auto-international-ltd/GSAUTO/513059/" xr:uid="{BC852354-054F-4E7B-918B-886265FA0557}"/>
    <hyperlink ref="C43" r:id="rId7" display="https://www.bseindia.com/stock-share-price/g-s-auto-international-ltd/GSAUTO/513059/" xr:uid="{10E6709B-CAF6-46C0-A2D7-5FC62B947DAF}"/>
    <hyperlink ref="C44:C47" r:id="rId8" display="https://www.bseindia.com/stock-share-price/g-s-auto-international-ltd/GSAUTO/513059/" xr:uid="{55C0F0AD-4521-46E1-8B1D-5F9A4395C23C}"/>
    <hyperlink ref="C17" r:id="rId9" display="https://www.bseindia.com/stock-share-price/bhagwati-autocast-ltd/BGWTATO/504646/" xr:uid="{ED4EDD2F-655C-4424-8652-74DE7737633D}"/>
    <hyperlink ref="C18:C21" r:id="rId10" display="https://www.bseindia.com/stock-share-price/bhagwati-autocast-ltd/BGWTATO/504646/" xr:uid="{A90023D7-EA69-4F2C-A033-FCFF901C360A}"/>
    <hyperlink ref="C48" r:id="rId11" display="https://www.bseindia.com/stock-share-price/bhagwati-autocast-ltd/BGWTATO/504646/" xr:uid="{6760BF3F-2CAC-41F3-896B-54A0997DDF06}"/>
    <hyperlink ref="C49:C52" r:id="rId12" display="https://www.bseindia.com/stock-share-price/bhagwati-autocast-ltd/BGWTATO/504646/" xr:uid="{DEC037F0-6904-486E-A81D-F0006229E10F}"/>
    <hyperlink ref="C22" r:id="rId13" display="https://www.bseindia.com/stock-share-price/indag-rubber-ltd/INDAG/509162/" xr:uid="{7F9BE4A8-63C4-4076-AA28-C35CF1BFB3DD}"/>
    <hyperlink ref="C53" r:id="rId14" display="https://www.bseindia.com/stock-share-price/indag-rubber-ltd/INDAG/509162/" xr:uid="{14EA9CF5-579E-4C47-A1DA-60B3F6E10271}"/>
    <hyperlink ref="C54:C58" r:id="rId15" display="https://www.bseindia.com/stock-share-price/indag-rubber-ltd/INDAG/509162/" xr:uid="{ED9CC3EA-CEDA-4A85-B04F-21AC79ED3EAE}"/>
    <hyperlink ref="C27" r:id="rId16" display="https://www.bseindia.com/stock-share-price/pradeep-metals-ltd/PRADPME/513532/" xr:uid="{FD9C85D3-84D1-450E-9F71-2A6E7ECB7DB3}"/>
    <hyperlink ref="C28:C32" r:id="rId17" display="https://www.bseindia.com/stock-share-price/pradeep-metals-ltd/PRADPME/513532/" xr:uid="{B322509C-09A3-4B0E-827F-DD8AFDD58B0D}"/>
    <hyperlink ref="C58" r:id="rId18" display="https://www.bseindia.com/stock-share-price/pradeep-metals-ltd/PRADPME/513532/" xr:uid="{15193C5F-8A45-40C9-9679-11B25FB9E683}"/>
    <hyperlink ref="C59:C62" r:id="rId19" display="https://www.bseindia.com/stock-share-price/pradeep-metals-ltd/PRADPME/513532/" xr:uid="{A915BFD9-9FFF-4409-AD40-FA05A5E812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74F4-7C1A-4325-9A5E-73DCB53A170C}">
  <dimension ref="C1:X99"/>
  <sheetViews>
    <sheetView tabSelected="1" topLeftCell="B1" workbookViewId="0">
      <selection activeCell="U89" sqref="U89"/>
    </sheetView>
  </sheetViews>
  <sheetFormatPr defaultRowHeight="14.4" x14ac:dyDescent="0.3"/>
  <sheetData>
    <row r="1" spans="3:23" ht="15" thickBot="1" x14ac:dyDescent="0.35"/>
    <row r="2" spans="3:23" x14ac:dyDescent="0.3">
      <c r="C2" s="43"/>
      <c r="D2" s="44"/>
      <c r="E2" s="44"/>
      <c r="F2" s="44"/>
      <c r="G2" s="44"/>
      <c r="H2" s="44"/>
      <c r="I2" s="44"/>
      <c r="J2" s="44"/>
      <c r="K2" s="44"/>
      <c r="L2" s="45"/>
      <c r="N2" s="24"/>
      <c r="O2" s="25"/>
      <c r="P2" s="25"/>
      <c r="Q2" s="25"/>
      <c r="R2" s="25"/>
      <c r="S2" s="25"/>
      <c r="T2" s="25"/>
      <c r="U2" s="25"/>
      <c r="V2" s="25"/>
      <c r="W2" s="26"/>
    </row>
    <row r="3" spans="3:23" ht="23.4" x14ac:dyDescent="0.3">
      <c r="C3" s="46"/>
      <c r="D3" s="63" t="s">
        <v>61</v>
      </c>
      <c r="E3" s="63"/>
      <c r="F3" s="63"/>
      <c r="G3" s="63"/>
      <c r="H3" s="63"/>
      <c r="I3" s="63"/>
      <c r="J3" s="63"/>
      <c r="K3" s="63"/>
      <c r="L3" s="47"/>
      <c r="N3" s="27" t="s">
        <v>62</v>
      </c>
      <c r="W3" s="28"/>
    </row>
    <row r="4" spans="3:23" x14ac:dyDescent="0.3">
      <c r="C4" s="46"/>
      <c r="D4" s="64" t="s">
        <v>49</v>
      </c>
      <c r="E4" s="63" t="s">
        <v>50</v>
      </c>
      <c r="F4" s="63"/>
      <c r="G4" s="63"/>
      <c r="H4" s="63"/>
      <c r="I4" s="63"/>
      <c r="J4" s="63"/>
      <c r="K4" s="63"/>
      <c r="L4" s="47"/>
      <c r="N4" s="29"/>
      <c r="W4" s="28"/>
    </row>
    <row r="5" spans="3:23" ht="43.2" x14ac:dyDescent="0.3">
      <c r="C5" s="46"/>
      <c r="D5" s="64"/>
      <c r="E5" s="63" t="s">
        <v>51</v>
      </c>
      <c r="F5" s="63"/>
      <c r="G5" s="63"/>
      <c r="H5" s="63" t="s">
        <v>52</v>
      </c>
      <c r="I5" s="63"/>
      <c r="J5" s="63"/>
      <c r="K5" s="4" t="s">
        <v>53</v>
      </c>
      <c r="L5" s="47"/>
      <c r="N5" s="30" t="s">
        <v>63</v>
      </c>
      <c r="O5" s="31" t="s">
        <v>64</v>
      </c>
      <c r="P5" s="31" t="s">
        <v>65</v>
      </c>
      <c r="Q5" s="31" t="s">
        <v>66</v>
      </c>
      <c r="R5" s="31" t="s">
        <v>67</v>
      </c>
      <c r="S5" s="31" t="s">
        <v>68</v>
      </c>
      <c r="W5" s="28"/>
    </row>
    <row r="6" spans="3:23" ht="43.2" x14ac:dyDescent="0.3">
      <c r="C6" s="46"/>
      <c r="D6" s="42" t="s">
        <v>27</v>
      </c>
      <c r="E6" s="42" t="s">
        <v>54</v>
      </c>
      <c r="F6" s="42" t="s">
        <v>55</v>
      </c>
      <c r="G6" s="4" t="s">
        <v>56</v>
      </c>
      <c r="H6" s="42" t="s">
        <v>57</v>
      </c>
      <c r="I6" s="4" t="s">
        <v>58</v>
      </c>
      <c r="J6" s="4" t="s">
        <v>59</v>
      </c>
      <c r="K6" s="4" t="s">
        <v>60</v>
      </c>
      <c r="L6" s="47"/>
      <c r="N6" s="32" t="s">
        <v>27</v>
      </c>
      <c r="O6" s="33">
        <v>18.07</v>
      </c>
      <c r="P6" s="33">
        <v>16.64</v>
      </c>
      <c r="Q6" s="33">
        <v>8.56</v>
      </c>
      <c r="R6" s="33">
        <v>3.58</v>
      </c>
      <c r="S6" s="33">
        <v>35.270000000000003</v>
      </c>
      <c r="W6" s="28"/>
    </row>
    <row r="7" spans="3:23" x14ac:dyDescent="0.3">
      <c r="C7" s="46">
        <v>1</v>
      </c>
      <c r="D7" s="42">
        <v>11.246633929985745</v>
      </c>
      <c r="E7" s="42">
        <v>1.21307727480567</v>
      </c>
      <c r="F7" s="42">
        <v>6.0317460317460311E-2</v>
      </c>
      <c r="G7" s="42">
        <v>-4.1095890410958908</v>
      </c>
      <c r="H7" s="42">
        <f>E7*F7</f>
        <v>7.316974038510389E-2</v>
      </c>
      <c r="I7" s="42">
        <f>E7*G7</f>
        <v>-4.9852490745438498</v>
      </c>
      <c r="J7" s="42">
        <f>F7*G7</f>
        <v>-0.24787997390737118</v>
      </c>
      <c r="K7" s="42">
        <f>E7*F7*G7</f>
        <v>-0.30069756322645436</v>
      </c>
      <c r="L7" s="47"/>
      <c r="N7" s="32" t="s">
        <v>54</v>
      </c>
      <c r="O7" s="33">
        <v>1.1599999999999999</v>
      </c>
      <c r="P7" s="33">
        <v>1.1599999999999999</v>
      </c>
      <c r="Q7" s="33">
        <v>0.39</v>
      </c>
      <c r="R7" s="33">
        <v>0.54</v>
      </c>
      <c r="S7" s="33">
        <v>2.34</v>
      </c>
      <c r="W7" s="28"/>
    </row>
    <row r="8" spans="3:23" x14ac:dyDescent="0.3">
      <c r="C8" s="46">
        <v>2</v>
      </c>
      <c r="D8" s="42">
        <v>19.145569620253163</v>
      </c>
      <c r="E8" s="42">
        <v>0.93188073394495397</v>
      </c>
      <c r="F8" s="42">
        <v>9.3333333333333351E-2</v>
      </c>
      <c r="G8" s="42">
        <v>3.5460992907801416</v>
      </c>
      <c r="H8" s="42">
        <f t="shared" ref="H8:H31" si="0">E8*F8</f>
        <v>8.6975535168195714E-2</v>
      </c>
      <c r="I8" s="42">
        <f t="shared" ref="I8:I31" si="1">E8*G8</f>
        <v>3.3045416097338789</v>
      </c>
      <c r="J8" s="42">
        <f t="shared" ref="J8:J31" si="2">F8*G8</f>
        <v>0.33096926713947994</v>
      </c>
      <c r="K8" s="42">
        <f t="shared" ref="K8:K31" si="3">E8*F8*G8</f>
        <v>0.30842388357516209</v>
      </c>
      <c r="L8" s="47"/>
      <c r="N8" s="32" t="s">
        <v>55</v>
      </c>
      <c r="O8" s="33">
        <v>0.52</v>
      </c>
      <c r="P8" s="33">
        <v>0.45</v>
      </c>
      <c r="Q8" s="33">
        <v>0.48</v>
      </c>
      <c r="R8" s="33">
        <v>0</v>
      </c>
      <c r="S8" s="33">
        <v>1.76</v>
      </c>
      <c r="W8" s="28"/>
    </row>
    <row r="9" spans="3:23" ht="28.8" x14ac:dyDescent="0.3">
      <c r="C9" s="46">
        <v>3</v>
      </c>
      <c r="D9" s="42">
        <v>13.406156901688181</v>
      </c>
      <c r="E9" s="42">
        <v>0.9586007702182282</v>
      </c>
      <c r="F9" s="42">
        <v>0.10728813559322034</v>
      </c>
      <c r="G9" s="42">
        <v>31.77570093457944</v>
      </c>
      <c r="H9" s="42">
        <f t="shared" si="0"/>
        <v>0.10284648941493872</v>
      </c>
      <c r="I9" s="42">
        <f t="shared" si="1"/>
        <v>30.460211390111926</v>
      </c>
      <c r="J9" s="42">
        <f t="shared" si="2"/>
        <v>3.4091557104387773</v>
      </c>
      <c r="K9" s="42">
        <f t="shared" si="3"/>
        <v>3.268019289820483</v>
      </c>
      <c r="L9" s="47"/>
      <c r="N9" s="32" t="s">
        <v>56</v>
      </c>
      <c r="O9" s="33">
        <v>8.02</v>
      </c>
      <c r="P9" s="33">
        <v>2.87</v>
      </c>
      <c r="Q9" s="33">
        <v>20.05</v>
      </c>
      <c r="R9" s="33">
        <v>-19.89</v>
      </c>
      <c r="S9" s="33">
        <v>46.81</v>
      </c>
      <c r="W9" s="28"/>
    </row>
    <row r="10" spans="3:23" x14ac:dyDescent="0.3">
      <c r="C10" s="46">
        <v>4</v>
      </c>
      <c r="D10" s="42">
        <v>7.8947368421052628</v>
      </c>
      <c r="E10" s="42">
        <v>1.0172680412371133</v>
      </c>
      <c r="F10" s="42">
        <v>0.24616666666666667</v>
      </c>
      <c r="G10" s="42">
        <v>52.857142857142854</v>
      </c>
      <c r="H10" s="42">
        <f t="shared" si="0"/>
        <v>0.25041748281786941</v>
      </c>
      <c r="I10" s="42">
        <f t="shared" si="1"/>
        <v>53.769882179675989</v>
      </c>
      <c r="J10" s="42">
        <f t="shared" si="2"/>
        <v>13.011666666666667</v>
      </c>
      <c r="K10" s="42">
        <f t="shared" si="3"/>
        <v>13.236352663230239</v>
      </c>
      <c r="L10" s="47"/>
      <c r="N10" s="34" t="s">
        <v>69</v>
      </c>
      <c r="O10" s="33">
        <v>0.47</v>
      </c>
      <c r="P10" s="33">
        <v>0.32</v>
      </c>
      <c r="Q10" s="33">
        <v>0.34</v>
      </c>
      <c r="R10" s="33">
        <v>0</v>
      </c>
      <c r="S10" s="33">
        <v>1.02</v>
      </c>
      <c r="W10" s="28"/>
    </row>
    <row r="11" spans="3:23" ht="43.2" x14ac:dyDescent="0.3">
      <c r="C11" s="46">
        <v>5</v>
      </c>
      <c r="D11" s="42">
        <v>12.012457363191457</v>
      </c>
      <c r="E11" s="42">
        <v>1.0717131474103585</v>
      </c>
      <c r="F11" s="42">
        <v>0.23700000000000002</v>
      </c>
      <c r="G11" s="42">
        <v>-11.39240506329114</v>
      </c>
      <c r="H11" s="42">
        <f t="shared" si="0"/>
        <v>0.25399601593625498</v>
      </c>
      <c r="I11" s="42">
        <f t="shared" si="1"/>
        <v>-12.209390286953452</v>
      </c>
      <c r="J11" s="42">
        <f t="shared" si="2"/>
        <v>-2.7</v>
      </c>
      <c r="K11" s="42">
        <f t="shared" si="3"/>
        <v>-2.8936254980079683</v>
      </c>
      <c r="L11" s="47"/>
      <c r="N11" s="34" t="s">
        <v>70</v>
      </c>
      <c r="O11" s="33">
        <v>9.1999999999999993</v>
      </c>
      <c r="P11" s="33">
        <v>4.58</v>
      </c>
      <c r="Q11" s="33">
        <v>22.35</v>
      </c>
      <c r="R11" s="33">
        <v>-22.83</v>
      </c>
      <c r="S11" s="33">
        <v>70.98</v>
      </c>
      <c r="W11" s="28"/>
    </row>
    <row r="12" spans="3:23" ht="57.6" x14ac:dyDescent="0.3">
      <c r="C12" s="46">
        <v>6</v>
      </c>
      <c r="D12" s="42">
        <v>31.845145176397121</v>
      </c>
      <c r="E12" s="42">
        <v>0.60335539479759892</v>
      </c>
      <c r="F12" s="42">
        <v>1.2234782608695653</v>
      </c>
      <c r="G12" s="42">
        <v>-3.3557046979865772</v>
      </c>
      <c r="H12" s="42">
        <f t="shared" si="0"/>
        <v>0.73819220911323635</v>
      </c>
      <c r="I12" s="42">
        <f t="shared" si="1"/>
        <v>-2.0246825328778488</v>
      </c>
      <c r="J12" s="42">
        <f t="shared" si="2"/>
        <v>-4.1056317478844475</v>
      </c>
      <c r="K12" s="42">
        <f t="shared" si="3"/>
        <v>-2.477155064138377</v>
      </c>
      <c r="L12" s="47"/>
      <c r="N12" s="34" t="s">
        <v>71</v>
      </c>
      <c r="O12" s="33">
        <v>7.26</v>
      </c>
      <c r="P12" s="33">
        <v>1.06</v>
      </c>
      <c r="Q12" s="33">
        <v>15.03</v>
      </c>
      <c r="R12" s="33">
        <v>-13.48</v>
      </c>
      <c r="S12" s="33">
        <v>51.55</v>
      </c>
      <c r="W12" s="28"/>
    </row>
    <row r="13" spans="3:23" ht="28.8" x14ac:dyDescent="0.3">
      <c r="C13" s="46">
        <v>7</v>
      </c>
      <c r="D13" s="42">
        <v>27.416520210896312</v>
      </c>
      <c r="E13" s="42">
        <v>0.58510804885687429</v>
      </c>
      <c r="F13" s="42">
        <v>1.5463636363636362</v>
      </c>
      <c r="G13" s="42">
        <v>15.503875968992247</v>
      </c>
      <c r="H13" s="42">
        <f t="shared" si="0"/>
        <v>0.90478981009594817</v>
      </c>
      <c r="I13" s="42">
        <f t="shared" si="1"/>
        <v>9.0714426179360341</v>
      </c>
      <c r="J13" s="42">
        <f t="shared" si="2"/>
        <v>23.974630021141646</v>
      </c>
      <c r="K13" s="42">
        <f t="shared" si="3"/>
        <v>14.02774899373563</v>
      </c>
      <c r="L13" s="47"/>
      <c r="N13" s="34" t="s">
        <v>72</v>
      </c>
      <c r="O13" s="33">
        <v>6.54</v>
      </c>
      <c r="P13" s="33">
        <v>1.27</v>
      </c>
      <c r="Q13" s="33">
        <v>12.54</v>
      </c>
      <c r="R13" s="33">
        <v>-15.47</v>
      </c>
      <c r="S13" s="33">
        <v>37.479999999999997</v>
      </c>
      <c r="W13" s="28"/>
    </row>
    <row r="14" spans="3:23" x14ac:dyDescent="0.3">
      <c r="C14" s="46">
        <v>8</v>
      </c>
      <c r="D14" s="42">
        <v>10.655314757481941</v>
      </c>
      <c r="E14" s="42">
        <v>0.61307968647942523</v>
      </c>
      <c r="F14" s="42">
        <v>1.7557142857142856</v>
      </c>
      <c r="G14" s="42">
        <v>32.989690721649481</v>
      </c>
      <c r="H14" s="42">
        <f t="shared" si="0"/>
        <v>1.0763927638331623</v>
      </c>
      <c r="I14" s="42">
        <f t="shared" si="1"/>
        <v>20.225309244682066</v>
      </c>
      <c r="J14" s="42">
        <f t="shared" si="2"/>
        <v>57.92047128129601</v>
      </c>
      <c r="K14" s="42">
        <f t="shared" si="3"/>
        <v>35.509864373877512</v>
      </c>
      <c r="L14" s="47"/>
      <c r="N14" s="29"/>
      <c r="W14" s="28"/>
    </row>
    <row r="15" spans="3:23" ht="23.4" x14ac:dyDescent="0.3">
      <c r="C15" s="46">
        <v>9</v>
      </c>
      <c r="D15" s="42">
        <v>16.636322257624034</v>
      </c>
      <c r="E15" s="42">
        <v>0.6637099552187391</v>
      </c>
      <c r="F15" s="42">
        <v>1.5391666666666668</v>
      </c>
      <c r="G15" s="42">
        <v>29.333333333333332</v>
      </c>
      <c r="H15" s="42">
        <f t="shared" si="0"/>
        <v>1.0215602394075094</v>
      </c>
      <c r="I15" s="42">
        <f t="shared" si="1"/>
        <v>19.468825353083012</v>
      </c>
      <c r="J15" s="42">
        <f t="shared" si="2"/>
        <v>45.148888888888891</v>
      </c>
      <c r="K15" s="42">
        <f t="shared" si="3"/>
        <v>29.965767022620273</v>
      </c>
      <c r="L15" s="47"/>
      <c r="N15" s="27" t="s">
        <v>73</v>
      </c>
      <c r="W15" s="28"/>
    </row>
    <row r="16" spans="3:23" ht="21.6" customHeight="1" x14ac:dyDescent="0.3">
      <c r="C16" s="46">
        <v>10</v>
      </c>
      <c r="D16" s="42">
        <v>12.801648028251917</v>
      </c>
      <c r="E16" s="42">
        <v>0.54212210077312717</v>
      </c>
      <c r="F16" s="42">
        <v>1.2866666666666668</v>
      </c>
      <c r="G16" s="42">
        <v>-8.536585365853659</v>
      </c>
      <c r="H16" s="42">
        <f t="shared" si="0"/>
        <v>0.69753043632809042</v>
      </c>
      <c r="I16" s="42">
        <f t="shared" si="1"/>
        <v>-4.6278715919657198</v>
      </c>
      <c r="J16" s="42">
        <f t="shared" si="2"/>
        <v>-10.983739837398376</v>
      </c>
      <c r="K16" s="42">
        <f t="shared" si="3"/>
        <v>-5.9545281149958944</v>
      </c>
      <c r="L16" s="47"/>
      <c r="N16" s="35"/>
      <c r="W16" s="28"/>
    </row>
    <row r="17" spans="3:23" ht="43.8" customHeight="1" x14ac:dyDescent="0.3">
      <c r="C17" s="46">
        <v>11</v>
      </c>
      <c r="D17" s="42">
        <v>23.011844331641289</v>
      </c>
      <c r="E17" s="42">
        <v>1.1566049983771505</v>
      </c>
      <c r="F17" s="42">
        <v>0.23765957446808511</v>
      </c>
      <c r="G17" s="42">
        <v>4.4776119402985071</v>
      </c>
      <c r="H17" s="42">
        <f t="shared" si="0"/>
        <v>0.27487825174197383</v>
      </c>
      <c r="I17" s="42">
        <f t="shared" si="1"/>
        <v>5.1788283509424646</v>
      </c>
      <c r="J17" s="42">
        <f t="shared" si="2"/>
        <v>1.06414734836456</v>
      </c>
      <c r="K17" s="42">
        <f t="shared" si="3"/>
        <v>1.230798142128241</v>
      </c>
      <c r="L17" s="47"/>
      <c r="N17" s="62" t="s">
        <v>74</v>
      </c>
      <c r="O17" s="58"/>
      <c r="P17" s="58"/>
      <c r="Q17" s="58"/>
      <c r="R17" s="58"/>
      <c r="S17" s="58"/>
      <c r="T17" s="58"/>
      <c r="U17" s="58"/>
      <c r="V17" s="58"/>
      <c r="W17" s="59"/>
    </row>
    <row r="18" spans="3:23" x14ac:dyDescent="0.3">
      <c r="C18" s="46">
        <v>12</v>
      </c>
      <c r="D18" s="42">
        <v>27.944915254237284</v>
      </c>
      <c r="E18" s="42">
        <v>1.4591743119266054</v>
      </c>
      <c r="F18" s="42">
        <v>0.20487804878048782</v>
      </c>
      <c r="G18" s="42">
        <v>-12.987012987012987</v>
      </c>
      <c r="H18" s="42">
        <f t="shared" si="0"/>
        <v>0.29895278585813384</v>
      </c>
      <c r="I18" s="42">
        <f t="shared" si="1"/>
        <v>-18.950315739306564</v>
      </c>
      <c r="J18" s="42">
        <f t="shared" si="2"/>
        <v>-2.6607538802660757</v>
      </c>
      <c r="K18" s="42">
        <f t="shared" si="3"/>
        <v>-3.8825037124432966</v>
      </c>
      <c r="L18" s="47"/>
      <c r="N18" s="35"/>
      <c r="W18" s="28"/>
    </row>
    <row r="19" spans="3:23" ht="37.799999999999997" customHeight="1" x14ac:dyDescent="0.3">
      <c r="C19" s="46">
        <v>13</v>
      </c>
      <c r="D19" s="42">
        <v>35.267961619471095</v>
      </c>
      <c r="E19" s="42">
        <v>1.035219628017412</v>
      </c>
      <c r="F19" s="42">
        <v>0.30857142857142861</v>
      </c>
      <c r="G19" s="42">
        <v>37.5</v>
      </c>
      <c r="H19" s="42">
        <f t="shared" si="0"/>
        <v>0.3194391995025157</v>
      </c>
      <c r="I19" s="42">
        <f t="shared" si="1"/>
        <v>38.820736050652947</v>
      </c>
      <c r="J19" s="42">
        <f t="shared" si="2"/>
        <v>11.571428571428573</v>
      </c>
      <c r="K19" s="42">
        <f t="shared" si="3"/>
        <v>11.978969981344338</v>
      </c>
      <c r="L19" s="47"/>
      <c r="N19" s="62" t="s">
        <v>75</v>
      </c>
      <c r="O19" s="58"/>
      <c r="P19" s="58"/>
      <c r="Q19" s="58"/>
      <c r="R19" s="58"/>
      <c r="S19" s="58"/>
      <c r="T19" s="58"/>
      <c r="U19" s="58"/>
      <c r="V19" s="58"/>
      <c r="W19" s="59"/>
    </row>
    <row r="20" spans="3:23" x14ac:dyDescent="0.3">
      <c r="C20" s="46">
        <v>14</v>
      </c>
      <c r="D20" s="42">
        <v>5.4319024907260189</v>
      </c>
      <c r="E20" s="42">
        <v>1.2625666412795125</v>
      </c>
      <c r="F20" s="42">
        <v>0.68148148148148147</v>
      </c>
      <c r="G20" s="42">
        <v>7.6923076923076925</v>
      </c>
      <c r="H20" s="42">
        <f t="shared" si="0"/>
        <v>0.86041578516826034</v>
      </c>
      <c r="I20" s="42">
        <f t="shared" si="1"/>
        <v>9.7120510867654808</v>
      </c>
      <c r="J20" s="42">
        <f t="shared" si="2"/>
        <v>5.2421652421652425</v>
      </c>
      <c r="K20" s="42">
        <f t="shared" si="3"/>
        <v>6.6185829628327717</v>
      </c>
      <c r="L20" s="47"/>
      <c r="N20" s="35"/>
      <c r="W20" s="28"/>
    </row>
    <row r="21" spans="3:23" ht="33" customHeight="1" x14ac:dyDescent="0.3">
      <c r="C21" s="46">
        <v>15</v>
      </c>
      <c r="D21" s="42">
        <v>17.844522968197875</v>
      </c>
      <c r="E21" s="42">
        <v>1.3323104693140797</v>
      </c>
      <c r="F21" s="42">
        <v>0.1739285714285714</v>
      </c>
      <c r="G21" s="42">
        <v>4</v>
      </c>
      <c r="H21" s="42">
        <f t="shared" si="0"/>
        <v>0.23172685662712741</v>
      </c>
      <c r="I21" s="42">
        <f t="shared" si="1"/>
        <v>5.3292418772563188</v>
      </c>
      <c r="J21" s="42">
        <f t="shared" si="2"/>
        <v>0.69571428571428562</v>
      </c>
      <c r="K21" s="42">
        <f t="shared" si="3"/>
        <v>0.92690742650850966</v>
      </c>
      <c r="L21" s="47"/>
      <c r="N21" s="62" t="s">
        <v>76</v>
      </c>
      <c r="O21" s="58"/>
      <c r="P21" s="58"/>
      <c r="Q21" s="58"/>
      <c r="R21" s="58"/>
      <c r="S21" s="58"/>
      <c r="T21" s="58"/>
      <c r="U21" s="58"/>
      <c r="V21" s="58"/>
      <c r="W21" s="59"/>
    </row>
    <row r="22" spans="3:23" x14ac:dyDescent="0.3">
      <c r="C22" s="46">
        <v>16</v>
      </c>
      <c r="D22" s="42">
        <v>7.4090196761274596</v>
      </c>
      <c r="E22" s="42">
        <v>1.4460285132382891</v>
      </c>
      <c r="F22" s="42">
        <v>2.3956521739130435E-2</v>
      </c>
      <c r="G22" s="42">
        <v>-10.358565737051793</v>
      </c>
      <c r="H22" s="42">
        <f t="shared" si="0"/>
        <v>3.4641813512795536E-2</v>
      </c>
      <c r="I22" s="42">
        <f t="shared" si="1"/>
        <v>-14.978781412030086</v>
      </c>
      <c r="J22" s="42">
        <f t="shared" si="2"/>
        <v>-0.24815520526589294</v>
      </c>
      <c r="K22" s="42">
        <f t="shared" si="3"/>
        <v>-0.35883950252298163</v>
      </c>
      <c r="L22" s="47"/>
      <c r="N22" s="35"/>
      <c r="W22" s="28"/>
    </row>
    <row r="23" spans="3:23" ht="40.799999999999997" customHeight="1" x14ac:dyDescent="0.3">
      <c r="C23" s="46">
        <v>17</v>
      </c>
      <c r="D23" s="42">
        <v>12.352967091061279</v>
      </c>
      <c r="E23" s="42">
        <v>1.5953901693973895</v>
      </c>
      <c r="F23" s="42">
        <v>2.6167400881057269E-2</v>
      </c>
      <c r="G23" s="42">
        <v>2.8688524590163933</v>
      </c>
      <c r="H23" s="42">
        <f t="shared" si="0"/>
        <v>4.1747214124319358E-2</v>
      </c>
      <c r="I23" s="42">
        <f t="shared" si="1"/>
        <v>4.5769390105662815</v>
      </c>
      <c r="J23" s="42">
        <f t="shared" si="2"/>
        <v>7.5070412363688888E-2</v>
      </c>
      <c r="K23" s="42">
        <f t="shared" si="3"/>
        <v>0.11976659789763749</v>
      </c>
      <c r="L23" s="47"/>
      <c r="N23" s="62" t="s">
        <v>77</v>
      </c>
      <c r="O23" s="58"/>
      <c r="P23" s="58"/>
      <c r="Q23" s="58"/>
      <c r="R23" s="58"/>
      <c r="S23" s="58"/>
      <c r="T23" s="58"/>
      <c r="U23" s="58"/>
      <c r="V23" s="58"/>
      <c r="W23" s="59"/>
    </row>
    <row r="24" spans="3:23" x14ac:dyDescent="0.3">
      <c r="C24" s="46">
        <v>18</v>
      </c>
      <c r="D24" s="42">
        <v>10.57578763402768</v>
      </c>
      <c r="E24" s="42">
        <v>1.5394502417918043</v>
      </c>
      <c r="F24" s="42">
        <v>2.9858490566037735E-2</v>
      </c>
      <c r="G24" s="42">
        <v>46.107784431137723</v>
      </c>
      <c r="H24" s="42">
        <f t="shared" si="0"/>
        <v>4.5965660521425103E-2</v>
      </c>
      <c r="I24" s="42">
        <f t="shared" si="1"/>
        <v>70.980639890999356</v>
      </c>
      <c r="J24" s="42">
        <f t="shared" si="2"/>
        <v>1.3767088464580273</v>
      </c>
      <c r="K24" s="42">
        <f t="shared" si="3"/>
        <v>2.1193747665567262</v>
      </c>
      <c r="L24" s="47"/>
      <c r="N24" s="35"/>
      <c r="W24" s="28"/>
    </row>
    <row r="25" spans="3:23" ht="30.6" customHeight="1" x14ac:dyDescent="0.3">
      <c r="C25" s="46">
        <v>19</v>
      </c>
      <c r="D25" s="42">
        <v>3.5793750604624162</v>
      </c>
      <c r="E25" s="42">
        <v>1.8906823184152608</v>
      </c>
      <c r="F25" s="42">
        <v>0</v>
      </c>
      <c r="G25" s="42">
        <v>-1.7647058823529411</v>
      </c>
      <c r="H25" s="42">
        <f t="shared" si="0"/>
        <v>0</v>
      </c>
      <c r="I25" s="42">
        <f t="shared" si="1"/>
        <v>-3.336498208968107</v>
      </c>
      <c r="J25" s="42">
        <f t="shared" si="2"/>
        <v>0</v>
      </c>
      <c r="K25" s="42">
        <f t="shared" si="3"/>
        <v>0</v>
      </c>
      <c r="L25" s="47"/>
      <c r="N25" s="68" t="s">
        <v>78</v>
      </c>
      <c r="O25" s="69"/>
      <c r="P25" s="69"/>
      <c r="Q25" s="69"/>
      <c r="R25" s="69"/>
      <c r="S25" s="69"/>
      <c r="T25" s="69"/>
      <c r="U25" s="69"/>
      <c r="V25" s="69"/>
      <c r="W25" s="70"/>
    </row>
    <row r="26" spans="3:23" x14ac:dyDescent="0.3">
      <c r="C26" s="46">
        <v>20</v>
      </c>
      <c r="D26" s="42">
        <v>10.680745215493172</v>
      </c>
      <c r="E26" s="42">
        <v>2.3532586965213915</v>
      </c>
      <c r="F26" s="42">
        <v>0</v>
      </c>
      <c r="G26" s="42">
        <v>-9.0909090909090917</v>
      </c>
      <c r="H26" s="42">
        <f t="shared" si="0"/>
        <v>0</v>
      </c>
      <c r="I26" s="42">
        <f t="shared" si="1"/>
        <v>-21.393260877467199</v>
      </c>
      <c r="J26" s="42">
        <f t="shared" si="2"/>
        <v>0</v>
      </c>
      <c r="K26" s="42">
        <f t="shared" si="3"/>
        <v>0</v>
      </c>
      <c r="L26" s="47"/>
      <c r="N26" s="29"/>
      <c r="W26" s="28"/>
    </row>
    <row r="27" spans="3:23" ht="23.4" x14ac:dyDescent="0.3">
      <c r="C27" s="46">
        <v>21</v>
      </c>
      <c r="D27" s="42">
        <v>28.760102503449637</v>
      </c>
      <c r="E27" s="42">
        <v>1.0732492621411323</v>
      </c>
      <c r="F27" s="42">
        <v>0.45014184397163121</v>
      </c>
      <c r="G27" s="42">
        <v>17.131474103585656</v>
      </c>
      <c r="H27" s="42">
        <f t="shared" si="0"/>
        <v>0.48311440190140187</v>
      </c>
      <c r="I27" s="42">
        <f t="shared" si="1"/>
        <v>18.386341941063222</v>
      </c>
      <c r="J27" s="42">
        <f t="shared" si="2"/>
        <v>7.7115933429402954</v>
      </c>
      <c r="K27" s="42">
        <f t="shared" si="3"/>
        <v>8.2764618652431388</v>
      </c>
      <c r="L27" s="47"/>
      <c r="N27" s="27" t="s">
        <v>82</v>
      </c>
      <c r="W27" s="28"/>
    </row>
    <row r="28" spans="3:23" x14ac:dyDescent="0.3">
      <c r="C28" s="46">
        <v>22</v>
      </c>
      <c r="D28" s="42">
        <v>28.236258006852378</v>
      </c>
      <c r="E28" s="42">
        <v>1.2011117728806828</v>
      </c>
      <c r="F28" s="42">
        <v>0.52139344262295084</v>
      </c>
      <c r="G28" s="42">
        <v>2.0325203252032522</v>
      </c>
      <c r="H28" s="42">
        <f t="shared" si="0"/>
        <v>0.6262518022372151</v>
      </c>
      <c r="I28" s="42">
        <f t="shared" si="1"/>
        <v>2.4412840912209002</v>
      </c>
      <c r="J28" s="42">
        <f t="shared" si="2"/>
        <v>1.0597427695588433</v>
      </c>
      <c r="K28" s="42">
        <f t="shared" si="3"/>
        <v>1.2728695167423072</v>
      </c>
      <c r="L28" s="47"/>
      <c r="N28" s="35"/>
      <c r="W28" s="28"/>
    </row>
    <row r="29" spans="3:23" ht="29.4" customHeight="1" x14ac:dyDescent="0.3">
      <c r="C29" s="46">
        <v>23</v>
      </c>
      <c r="D29" s="42">
        <v>32.425322471147318</v>
      </c>
      <c r="E29" s="42">
        <v>1.1989444699403395</v>
      </c>
      <c r="F29" s="42">
        <v>0.5727358490566038</v>
      </c>
      <c r="G29" s="42">
        <v>18.840579710144926</v>
      </c>
      <c r="H29" s="42">
        <f t="shared" si="0"/>
        <v>0.68667847896300016</v>
      </c>
      <c r="I29" s="42">
        <f t="shared" si="1"/>
        <v>22.588808853948425</v>
      </c>
      <c r="J29" s="42">
        <f t="shared" si="2"/>
        <v>10.790675417008476</v>
      </c>
      <c r="K29" s="42">
        <f t="shared" si="3"/>
        <v>12.937420618143481</v>
      </c>
      <c r="L29" s="47"/>
      <c r="N29" s="71" t="s">
        <v>79</v>
      </c>
      <c r="O29" s="72"/>
      <c r="P29" s="72"/>
      <c r="Q29" s="72"/>
      <c r="R29" s="72"/>
      <c r="S29" s="72"/>
      <c r="T29" s="72"/>
      <c r="U29" s="72"/>
      <c r="V29" s="72"/>
      <c r="W29" s="73"/>
    </row>
    <row r="30" spans="3:23" x14ac:dyDescent="0.3">
      <c r="C30" s="46">
        <v>24</v>
      </c>
      <c r="D30" s="42">
        <v>29.704364148287187</v>
      </c>
      <c r="E30" s="42">
        <v>1.1623726782504493</v>
      </c>
      <c r="F30" s="42">
        <v>0.69434782608695644</v>
      </c>
      <c r="G30" s="42">
        <v>46.808510638297875</v>
      </c>
      <c r="H30" s="42">
        <f t="shared" si="0"/>
        <v>0.80709094224607281</v>
      </c>
      <c r="I30" s="42">
        <f t="shared" si="1"/>
        <v>54.408933875552947</v>
      </c>
      <c r="J30" s="42">
        <f t="shared" si="2"/>
        <v>32.501387604070302</v>
      </c>
      <c r="K30" s="42">
        <f t="shared" si="3"/>
        <v>37.778724956199156</v>
      </c>
      <c r="L30" s="47"/>
      <c r="N30" s="35"/>
      <c r="W30" s="28"/>
    </row>
    <row r="31" spans="3:23" x14ac:dyDescent="0.3">
      <c r="C31" s="46">
        <v>25</v>
      </c>
      <c r="D31" s="42">
        <v>22.381432896064581</v>
      </c>
      <c r="E31" s="42">
        <v>1.1479198767334362</v>
      </c>
      <c r="F31" s="42">
        <v>0.67799999999999983</v>
      </c>
      <c r="G31" s="42">
        <v>-19.886363636363637</v>
      </c>
      <c r="H31" s="42">
        <f t="shared" si="0"/>
        <v>0.77828967642526958</v>
      </c>
      <c r="I31" s="42">
        <f t="shared" si="1"/>
        <v>-22.827952094130833</v>
      </c>
      <c r="J31" s="42">
        <f t="shared" si="2"/>
        <v>-13.482954545454541</v>
      </c>
      <c r="K31" s="42">
        <f t="shared" si="3"/>
        <v>-15.477351519820703</v>
      </c>
      <c r="L31" s="47"/>
      <c r="N31" s="74" t="s">
        <v>80</v>
      </c>
      <c r="O31" s="75"/>
      <c r="P31" s="75"/>
      <c r="Q31" s="75"/>
      <c r="R31" s="75"/>
      <c r="S31" s="75"/>
      <c r="T31" s="75"/>
      <c r="U31" s="75"/>
      <c r="V31" s="75"/>
      <c r="W31" s="76"/>
    </row>
    <row r="32" spans="3:23" ht="15" thickBot="1" x14ac:dyDescent="0.35">
      <c r="C32" s="48"/>
      <c r="D32" s="49"/>
      <c r="E32" s="49"/>
      <c r="F32" s="49"/>
      <c r="G32" s="49"/>
      <c r="H32" s="49"/>
      <c r="I32" s="49"/>
      <c r="J32" s="49"/>
      <c r="K32" s="49"/>
      <c r="L32" s="50"/>
      <c r="N32" s="35"/>
      <c r="W32" s="28"/>
    </row>
    <row r="33" spans="14:23" ht="28.8" customHeight="1" thickBot="1" x14ac:dyDescent="0.35">
      <c r="N33" s="65" t="s">
        <v>81</v>
      </c>
      <c r="O33" s="66"/>
      <c r="P33" s="66"/>
      <c r="Q33" s="66"/>
      <c r="R33" s="66"/>
      <c r="S33" s="66"/>
      <c r="T33" s="66"/>
      <c r="U33" s="66"/>
      <c r="V33" s="66"/>
      <c r="W33" s="67"/>
    </row>
    <row r="37" spans="14:23" ht="15" thickBot="1" x14ac:dyDescent="0.35"/>
    <row r="38" spans="14:23" x14ac:dyDescent="0.3">
      <c r="Q38" s="24"/>
      <c r="R38" s="25"/>
      <c r="S38" s="25"/>
      <c r="T38" s="25"/>
      <c r="U38" s="25"/>
      <c r="V38" s="25"/>
      <c r="W38" s="26"/>
    </row>
    <row r="39" spans="14:23" ht="17.399999999999999" x14ac:dyDescent="0.3">
      <c r="Q39" s="37" t="s">
        <v>83</v>
      </c>
      <c r="W39" s="28"/>
    </row>
    <row r="40" spans="14:23" x14ac:dyDescent="0.3">
      <c r="Q40" s="29"/>
      <c r="W40" s="28"/>
    </row>
    <row r="41" spans="14:23" ht="41.4" x14ac:dyDescent="0.3">
      <c r="Q41" s="38" t="s">
        <v>63</v>
      </c>
      <c r="R41" s="36" t="s">
        <v>84</v>
      </c>
      <c r="S41" s="60" t="s">
        <v>85</v>
      </c>
      <c r="T41" s="60"/>
      <c r="U41" s="60"/>
      <c r="V41" s="60"/>
      <c r="W41" s="61"/>
    </row>
    <row r="42" spans="14:23" ht="64.8" customHeight="1" x14ac:dyDescent="0.3">
      <c r="Q42" s="38" t="s">
        <v>27</v>
      </c>
      <c r="R42" s="36" t="s">
        <v>86</v>
      </c>
      <c r="S42" s="56" t="s">
        <v>87</v>
      </c>
      <c r="T42" s="56"/>
      <c r="U42" s="56"/>
      <c r="V42" s="56"/>
      <c r="W42" s="57"/>
    </row>
    <row r="43" spans="14:23" ht="96.6" customHeight="1" x14ac:dyDescent="0.3">
      <c r="Q43" s="38" t="s">
        <v>88</v>
      </c>
      <c r="R43" s="36" t="s">
        <v>89</v>
      </c>
      <c r="S43" s="56" t="s">
        <v>90</v>
      </c>
      <c r="T43" s="56"/>
      <c r="U43" s="56"/>
      <c r="V43" s="56"/>
      <c r="W43" s="57"/>
    </row>
    <row r="44" spans="14:23" ht="80.400000000000006" customHeight="1" x14ac:dyDescent="0.3">
      <c r="Q44" s="38" t="s">
        <v>91</v>
      </c>
      <c r="R44" s="36" t="s">
        <v>92</v>
      </c>
      <c r="S44" s="56" t="s">
        <v>93</v>
      </c>
      <c r="T44" s="56"/>
      <c r="U44" s="56"/>
      <c r="V44" s="56"/>
      <c r="W44" s="57"/>
    </row>
    <row r="45" spans="14:23" ht="92.4" customHeight="1" x14ac:dyDescent="0.3">
      <c r="Q45" s="38" t="s">
        <v>56</v>
      </c>
      <c r="R45" s="36" t="s">
        <v>94</v>
      </c>
      <c r="S45" s="56" t="s">
        <v>95</v>
      </c>
      <c r="T45" s="56"/>
      <c r="U45" s="56"/>
      <c r="V45" s="56"/>
      <c r="W45" s="57"/>
    </row>
    <row r="46" spans="14:23" x14ac:dyDescent="0.3">
      <c r="Q46" s="29"/>
      <c r="W46" s="28"/>
    </row>
    <row r="47" spans="14:23" ht="17.399999999999999" x14ac:dyDescent="0.3">
      <c r="Q47" s="37" t="s">
        <v>96</v>
      </c>
      <c r="W47" s="28"/>
    </row>
    <row r="48" spans="14:23" x14ac:dyDescent="0.3">
      <c r="Q48" s="29"/>
      <c r="W48" s="28"/>
    </row>
    <row r="49" spans="3:24" ht="41.4" x14ac:dyDescent="0.3">
      <c r="Q49" s="38" t="s">
        <v>97</v>
      </c>
      <c r="R49" s="36" t="s">
        <v>84</v>
      </c>
      <c r="S49" s="60" t="s">
        <v>85</v>
      </c>
      <c r="T49" s="60"/>
      <c r="U49" s="60"/>
      <c r="V49" s="60"/>
      <c r="W49" s="61"/>
    </row>
    <row r="50" spans="3:24" ht="84" customHeight="1" x14ac:dyDescent="0.3">
      <c r="Q50" s="38" t="s">
        <v>98</v>
      </c>
      <c r="R50" s="36" t="s">
        <v>99</v>
      </c>
      <c r="S50" s="56" t="s">
        <v>100</v>
      </c>
      <c r="T50" s="56"/>
      <c r="U50" s="56"/>
      <c r="V50" s="56"/>
      <c r="W50" s="57"/>
    </row>
    <row r="51" spans="3:24" ht="85.8" customHeight="1" x14ac:dyDescent="0.3">
      <c r="Q51" s="38" t="s">
        <v>101</v>
      </c>
      <c r="R51" s="36" t="s">
        <v>102</v>
      </c>
      <c r="S51" s="56" t="s">
        <v>103</v>
      </c>
      <c r="T51" s="56"/>
      <c r="U51" s="56"/>
      <c r="V51" s="56"/>
      <c r="W51" s="57"/>
    </row>
    <row r="52" spans="3:24" ht="108.6" customHeight="1" x14ac:dyDescent="0.3">
      <c r="Q52" s="38" t="s">
        <v>104</v>
      </c>
      <c r="R52" s="36" t="s">
        <v>105</v>
      </c>
      <c r="S52" s="56" t="s">
        <v>106</v>
      </c>
      <c r="T52" s="56"/>
      <c r="U52" s="56"/>
      <c r="V52" s="56"/>
      <c r="W52" s="57"/>
    </row>
    <row r="53" spans="3:24" ht="105.6" customHeight="1" x14ac:dyDescent="0.3">
      <c r="Q53" s="38" t="s">
        <v>107</v>
      </c>
      <c r="R53" s="36" t="s">
        <v>108</v>
      </c>
      <c r="S53" s="56" t="s">
        <v>109</v>
      </c>
      <c r="T53" s="56"/>
      <c r="U53" s="56"/>
      <c r="V53" s="56"/>
      <c r="W53" s="57"/>
    </row>
    <row r="54" spans="3:24" ht="15" thickBot="1" x14ac:dyDescent="0.35">
      <c r="Q54" s="39"/>
      <c r="R54" s="40"/>
      <c r="S54" s="40"/>
      <c r="T54" s="40"/>
      <c r="U54" s="40"/>
      <c r="V54" s="40"/>
      <c r="W54" s="41"/>
    </row>
    <row r="56" spans="3:24" ht="15" thickBot="1" x14ac:dyDescent="0.35"/>
    <row r="57" spans="3:24" x14ac:dyDescent="0.3"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6"/>
    </row>
    <row r="58" spans="3:24" ht="30.6" customHeight="1" x14ac:dyDescent="0.3">
      <c r="C58" s="29"/>
      <c r="L58" s="54" t="s">
        <v>110</v>
      </c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28"/>
    </row>
    <row r="59" spans="3:24" x14ac:dyDescent="0.3">
      <c r="C59" s="29"/>
      <c r="X59" s="28"/>
    </row>
    <row r="60" spans="3:24" x14ac:dyDescent="0.3">
      <c r="C60" s="29"/>
      <c r="L60" t="s">
        <v>124</v>
      </c>
      <c r="X60" s="28"/>
    </row>
    <row r="61" spans="3:24" x14ac:dyDescent="0.3">
      <c r="C61" s="29"/>
      <c r="X61" s="28"/>
    </row>
    <row r="62" spans="3:24" ht="18" x14ac:dyDescent="0.3">
      <c r="C62" s="29"/>
      <c r="L62" s="51" t="s">
        <v>111</v>
      </c>
      <c r="X62" s="28"/>
    </row>
    <row r="63" spans="3:24" x14ac:dyDescent="0.3">
      <c r="C63" s="29"/>
      <c r="X63" s="28"/>
    </row>
    <row r="64" spans="3:24" x14ac:dyDescent="0.3">
      <c r="C64" s="29"/>
      <c r="L64" t="s">
        <v>125</v>
      </c>
      <c r="X64" s="28"/>
    </row>
    <row r="65" spans="3:24" x14ac:dyDescent="0.3">
      <c r="C65" s="29"/>
      <c r="L65" s="52"/>
      <c r="X65" s="28"/>
    </row>
    <row r="66" spans="3:24" x14ac:dyDescent="0.3">
      <c r="C66" s="29"/>
      <c r="L66" s="53" t="s">
        <v>112</v>
      </c>
      <c r="X66" s="28"/>
    </row>
    <row r="67" spans="3:24" x14ac:dyDescent="0.3">
      <c r="C67" s="29"/>
      <c r="L67" s="52"/>
      <c r="X67" s="28"/>
    </row>
    <row r="68" spans="3:24" x14ac:dyDescent="0.3">
      <c r="C68" s="29"/>
      <c r="L68" s="53" t="s">
        <v>113</v>
      </c>
      <c r="X68" s="28"/>
    </row>
    <row r="69" spans="3:24" x14ac:dyDescent="0.3">
      <c r="C69" s="29"/>
      <c r="L69" s="52"/>
      <c r="X69" s="28"/>
    </row>
    <row r="70" spans="3:24" x14ac:dyDescent="0.3">
      <c r="C70" s="29"/>
      <c r="L70" s="53" t="s">
        <v>114</v>
      </c>
      <c r="X70" s="28"/>
    </row>
    <row r="71" spans="3:24" x14ac:dyDescent="0.3">
      <c r="C71" s="29"/>
      <c r="X71" s="28"/>
    </row>
    <row r="72" spans="3:24" ht="18" x14ac:dyDescent="0.3">
      <c r="C72" s="29"/>
      <c r="L72" s="51" t="s">
        <v>115</v>
      </c>
      <c r="X72" s="28"/>
    </row>
    <row r="73" spans="3:24" x14ac:dyDescent="0.3">
      <c r="C73" s="29"/>
      <c r="X73" s="28"/>
    </row>
    <row r="74" spans="3:24" x14ac:dyDescent="0.3">
      <c r="C74" s="29"/>
      <c r="L74" t="s">
        <v>116</v>
      </c>
      <c r="X74" s="28"/>
    </row>
    <row r="75" spans="3:24" x14ac:dyDescent="0.3">
      <c r="C75" s="29"/>
      <c r="L75" s="52"/>
      <c r="X75" s="28"/>
    </row>
    <row r="76" spans="3:24" ht="42" customHeight="1" x14ac:dyDescent="0.3">
      <c r="C76" s="29"/>
      <c r="L76" s="58" t="s">
        <v>117</v>
      </c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28"/>
    </row>
    <row r="77" spans="3:24" x14ac:dyDescent="0.3">
      <c r="C77" s="29"/>
      <c r="L77" s="52"/>
      <c r="X77" s="28"/>
    </row>
    <row r="78" spans="3:24" ht="28.2" customHeight="1" x14ac:dyDescent="0.3">
      <c r="C78" s="29"/>
      <c r="L78" s="58" t="s">
        <v>118</v>
      </c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28"/>
    </row>
    <row r="79" spans="3:24" x14ac:dyDescent="0.3">
      <c r="C79" s="29"/>
      <c r="X79" s="28"/>
    </row>
    <row r="80" spans="3:24" ht="18" x14ac:dyDescent="0.3">
      <c r="C80" s="29"/>
      <c r="L80" s="51" t="s">
        <v>119</v>
      </c>
      <c r="X80" s="28"/>
    </row>
    <row r="81" spans="3:24" x14ac:dyDescent="0.3">
      <c r="C81" s="29"/>
      <c r="X81" s="28"/>
    </row>
    <row r="82" spans="3:24" x14ac:dyDescent="0.3">
      <c r="C82" s="29"/>
      <c r="L82" t="s">
        <v>126</v>
      </c>
      <c r="X82" s="28"/>
    </row>
    <row r="83" spans="3:24" x14ac:dyDescent="0.3">
      <c r="C83" s="29"/>
      <c r="L83" s="52"/>
      <c r="X83" s="28"/>
    </row>
    <row r="84" spans="3:24" ht="41.4" customHeight="1" x14ac:dyDescent="0.3">
      <c r="C84" s="29"/>
      <c r="L84" s="58" t="s">
        <v>127</v>
      </c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28"/>
    </row>
    <row r="85" spans="3:24" x14ac:dyDescent="0.3">
      <c r="C85" s="29"/>
      <c r="L85" s="52"/>
      <c r="X85" s="28"/>
    </row>
    <row r="86" spans="3:24" ht="28.8" customHeight="1" x14ac:dyDescent="0.3">
      <c r="C86" s="29"/>
      <c r="L86" s="58" t="s">
        <v>128</v>
      </c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9"/>
    </row>
    <row r="87" spans="3:24" x14ac:dyDescent="0.3">
      <c r="C87" s="29"/>
      <c r="X87" s="28"/>
    </row>
    <row r="88" spans="3:24" ht="18" x14ac:dyDescent="0.3">
      <c r="C88" s="29"/>
      <c r="L88" s="51" t="s">
        <v>120</v>
      </c>
      <c r="X88" s="28"/>
    </row>
    <row r="89" spans="3:24" x14ac:dyDescent="0.3">
      <c r="C89" s="29"/>
      <c r="X89" s="28"/>
    </row>
    <row r="90" spans="3:24" x14ac:dyDescent="0.3">
      <c r="C90" s="29"/>
      <c r="L90" t="s">
        <v>121</v>
      </c>
      <c r="X90" s="28"/>
    </row>
    <row r="91" spans="3:24" x14ac:dyDescent="0.3">
      <c r="C91" s="29"/>
      <c r="L91" s="52"/>
      <c r="X91" s="28"/>
    </row>
    <row r="92" spans="3:24" x14ac:dyDescent="0.3">
      <c r="C92" s="29"/>
      <c r="L92" s="53" t="s">
        <v>122</v>
      </c>
      <c r="X92" s="28"/>
    </row>
    <row r="93" spans="3:24" x14ac:dyDescent="0.3">
      <c r="C93" s="29"/>
      <c r="L93" s="52"/>
      <c r="X93" s="28"/>
    </row>
    <row r="94" spans="3:24" x14ac:dyDescent="0.3">
      <c r="C94" s="29"/>
      <c r="L94" s="53" t="s">
        <v>123</v>
      </c>
      <c r="X94" s="28"/>
    </row>
    <row r="95" spans="3:24" x14ac:dyDescent="0.3">
      <c r="C95" s="29"/>
      <c r="X95" s="28"/>
    </row>
    <row r="96" spans="3:24" ht="18" x14ac:dyDescent="0.3">
      <c r="C96" s="29"/>
      <c r="L96" s="51" t="s">
        <v>130</v>
      </c>
      <c r="X96" s="28"/>
    </row>
    <row r="97" spans="3:24" x14ac:dyDescent="0.3">
      <c r="C97" s="29"/>
      <c r="X97" s="28"/>
    </row>
    <row r="98" spans="3:24" ht="29.4" customHeight="1" x14ac:dyDescent="0.3">
      <c r="C98" s="29"/>
      <c r="L98" s="54" t="s">
        <v>129</v>
      </c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5"/>
    </row>
    <row r="99" spans="3:24" ht="15" thickBot="1" x14ac:dyDescent="0.35"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1"/>
    </row>
  </sheetData>
  <mergeCells count="29">
    <mergeCell ref="D3:K3"/>
    <mergeCell ref="D4:D5"/>
    <mergeCell ref="E4:K4"/>
    <mergeCell ref="E5:G5"/>
    <mergeCell ref="H5:J5"/>
    <mergeCell ref="N17:W17"/>
    <mergeCell ref="S41:W41"/>
    <mergeCell ref="S42:W42"/>
    <mergeCell ref="S43:W43"/>
    <mergeCell ref="S44:W44"/>
    <mergeCell ref="N33:W33"/>
    <mergeCell ref="N19:W19"/>
    <mergeCell ref="N21:W21"/>
    <mergeCell ref="N23:W23"/>
    <mergeCell ref="N25:W25"/>
    <mergeCell ref="N29:W29"/>
    <mergeCell ref="N31:W31"/>
    <mergeCell ref="S45:W45"/>
    <mergeCell ref="S49:W49"/>
    <mergeCell ref="S50:W50"/>
    <mergeCell ref="S51:W51"/>
    <mergeCell ref="S52:W52"/>
    <mergeCell ref="L98:X98"/>
    <mergeCell ref="L58:W58"/>
    <mergeCell ref="S53:W53"/>
    <mergeCell ref="L76:W76"/>
    <mergeCell ref="L78:W78"/>
    <mergeCell ref="L84:W84"/>
    <mergeCell ref="L86:X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3, Raw</vt:lpstr>
      <vt:lpstr>Variable Data&amp;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 Nadpurohit</dc:creator>
  <cp:lastModifiedBy>Rajan Nadpurohit</cp:lastModifiedBy>
  <dcterms:created xsi:type="dcterms:W3CDTF">2026-04-03T03:55:16Z</dcterms:created>
  <dcterms:modified xsi:type="dcterms:W3CDTF">2026-04-07T12:56:49Z</dcterms:modified>
</cp:coreProperties>
</file>