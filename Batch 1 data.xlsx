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BA\Walsh MS\MS Term 3\QM 640, Capstone Project\Data collation and compilation\"/>
    </mc:Choice>
  </mc:AlternateContent>
  <xr:revisionPtr revIDLastSave="0" documentId="13_ncr:1_{31C82285-D8AB-4844-B0FB-3551BF26A02E}" xr6:coauthVersionLast="47" xr6:coauthVersionMax="47" xr10:uidLastSave="{00000000-0000-0000-0000-000000000000}"/>
  <bookViews>
    <workbookView xWindow="-108" yWindow="-108" windowWidth="23256" windowHeight="14616" activeTab="1" xr2:uid="{5E4B78D6-AA3A-41CD-B06F-6158A255F73F}"/>
  </bookViews>
  <sheets>
    <sheet name="Raw Data" sheetId="1" r:id="rId1"/>
    <sheet name="Variable 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 l="1"/>
  <c r="K10" i="2"/>
  <c r="K11" i="2"/>
  <c r="K12" i="2"/>
  <c r="K13" i="2"/>
  <c r="K14" i="2"/>
  <c r="K15" i="2"/>
  <c r="K16" i="2"/>
  <c r="K17" i="2"/>
  <c r="K18" i="2"/>
  <c r="K19" i="2"/>
  <c r="K20" i="2"/>
  <c r="K21" i="2"/>
  <c r="K22" i="2"/>
  <c r="K23" i="2"/>
  <c r="K24" i="2"/>
  <c r="K25" i="2"/>
  <c r="K26" i="2"/>
  <c r="K27" i="2"/>
  <c r="K28" i="2"/>
  <c r="K29" i="2"/>
  <c r="K30" i="2"/>
  <c r="K31" i="2"/>
  <c r="K32" i="2"/>
  <c r="K8" i="2"/>
  <c r="J9" i="2"/>
  <c r="J10" i="2"/>
  <c r="J11" i="2"/>
  <c r="J12" i="2"/>
  <c r="J13" i="2"/>
  <c r="J14" i="2"/>
  <c r="J15" i="2"/>
  <c r="J16" i="2"/>
  <c r="J17" i="2"/>
  <c r="J18" i="2"/>
  <c r="J19" i="2"/>
  <c r="J20" i="2"/>
  <c r="J21" i="2"/>
  <c r="J22" i="2"/>
  <c r="J23" i="2"/>
  <c r="J24" i="2"/>
  <c r="J25" i="2"/>
  <c r="J26" i="2"/>
  <c r="J27" i="2"/>
  <c r="J28" i="2"/>
  <c r="J29" i="2"/>
  <c r="J30" i="2"/>
  <c r="J31" i="2"/>
  <c r="J32" i="2"/>
  <c r="J8" i="2"/>
  <c r="I9" i="2"/>
  <c r="I10" i="2"/>
  <c r="I11" i="2"/>
  <c r="I12" i="2"/>
  <c r="I13" i="2"/>
  <c r="I14" i="2"/>
  <c r="I15" i="2"/>
  <c r="I16" i="2"/>
  <c r="I17" i="2"/>
  <c r="I18" i="2"/>
  <c r="I19" i="2"/>
  <c r="I20" i="2"/>
  <c r="I21" i="2"/>
  <c r="I22" i="2"/>
  <c r="I23" i="2"/>
  <c r="I24" i="2"/>
  <c r="I25" i="2"/>
  <c r="I26" i="2"/>
  <c r="I27" i="2"/>
  <c r="I28" i="2"/>
  <c r="I29" i="2"/>
  <c r="I30" i="2"/>
  <c r="I31" i="2"/>
  <c r="I32" i="2"/>
  <c r="I8" i="2"/>
  <c r="H9" i="2"/>
  <c r="H10" i="2"/>
  <c r="H11" i="2"/>
  <c r="H12" i="2"/>
  <c r="H13" i="2"/>
  <c r="H14" i="2"/>
  <c r="H15" i="2"/>
  <c r="H16" i="2"/>
  <c r="H17" i="2"/>
  <c r="H18" i="2"/>
  <c r="H19" i="2"/>
  <c r="H20" i="2"/>
  <c r="H21" i="2"/>
  <c r="H22" i="2"/>
  <c r="H23" i="2"/>
  <c r="H24" i="2"/>
  <c r="H25" i="2"/>
  <c r="H26" i="2"/>
  <c r="H27" i="2"/>
  <c r="H28" i="2"/>
  <c r="H29" i="2"/>
  <c r="H30" i="2"/>
  <c r="H31" i="2"/>
  <c r="H32" i="2"/>
  <c r="H8" i="2"/>
  <c r="M63" i="1" l="1"/>
  <c r="M62" i="1"/>
  <c r="M61" i="1"/>
  <c r="M60" i="1"/>
  <c r="M59" i="1"/>
  <c r="M58" i="1"/>
  <c r="M57" i="1"/>
  <c r="M56" i="1"/>
  <c r="M55" i="1"/>
  <c r="M54" i="1"/>
  <c r="M53" i="1"/>
  <c r="M52" i="1"/>
  <c r="M51" i="1"/>
  <c r="M50" i="1"/>
  <c r="M49" i="1"/>
  <c r="L48" i="1"/>
  <c r="I48" i="1"/>
  <c r="M48" i="1" s="1"/>
  <c r="M47" i="1"/>
  <c r="L47" i="1"/>
  <c r="I47" i="1"/>
  <c r="L46" i="1"/>
  <c r="I46" i="1"/>
  <c r="M46" i="1" s="1"/>
  <c r="L45" i="1"/>
  <c r="I45" i="1"/>
  <c r="M45" i="1" s="1"/>
  <c r="M44" i="1"/>
  <c r="L44" i="1"/>
  <c r="I44" i="1"/>
  <c r="L43" i="1"/>
  <c r="I43" i="1"/>
  <c r="M43" i="1" s="1"/>
  <c r="L42" i="1"/>
  <c r="I42" i="1"/>
  <c r="M42" i="1" s="1"/>
  <c r="L41" i="1"/>
  <c r="I41" i="1"/>
  <c r="M41" i="1" s="1"/>
  <c r="L40" i="1"/>
  <c r="I40" i="1"/>
  <c r="M40" i="1" s="1"/>
  <c r="M39" i="1"/>
  <c r="L39" i="1"/>
  <c r="I39" i="1"/>
  <c r="Z32" i="1"/>
  <c r="AA32" i="1" s="1"/>
  <c r="W32" i="1"/>
  <c r="T32" i="1"/>
  <c r="S32" i="1"/>
  <c r="U32" i="1" s="1"/>
  <c r="AC32" i="1" s="1"/>
  <c r="R32" i="1"/>
  <c r="L32" i="1"/>
  <c r="Z31" i="1"/>
  <c r="R31" i="1"/>
  <c r="W31" i="1" s="1"/>
  <c r="L31" i="1"/>
  <c r="T31" i="1" s="1"/>
  <c r="F31" i="1"/>
  <c r="Z30" i="1"/>
  <c r="R30" i="1"/>
  <c r="W30" i="1" s="1"/>
  <c r="L30" i="1"/>
  <c r="T30" i="1" s="1"/>
  <c r="F30" i="1"/>
  <c r="AA29" i="1"/>
  <c r="Z29" i="1"/>
  <c r="W29" i="1"/>
  <c r="T29" i="1"/>
  <c r="S29" i="1"/>
  <c r="U29" i="1" s="1"/>
  <c r="AC29" i="1" s="1"/>
  <c r="R29" i="1"/>
  <c r="L29" i="1"/>
  <c r="F29" i="1"/>
  <c r="Z28" i="1"/>
  <c r="AA28" i="1" s="1"/>
  <c r="W28" i="1"/>
  <c r="T28" i="1"/>
  <c r="S28" i="1"/>
  <c r="U28" i="1" s="1"/>
  <c r="AC28" i="1" s="1"/>
  <c r="R28" i="1"/>
  <c r="L28" i="1"/>
  <c r="F28" i="1"/>
  <c r="Z27" i="1"/>
  <c r="AA27" i="1" s="1"/>
  <c r="W27" i="1"/>
  <c r="T27" i="1"/>
  <c r="R27" i="1"/>
  <c r="L27" i="1"/>
  <c r="S27" i="1" s="1"/>
  <c r="U27" i="1" s="1"/>
  <c r="AC27" i="1" s="1"/>
  <c r="Z26" i="1"/>
  <c r="R26" i="1"/>
  <c r="W26" i="1" s="1"/>
  <c r="AA26" i="1" s="1"/>
  <c r="L26" i="1"/>
  <c r="T26" i="1" s="1"/>
  <c r="F26" i="1"/>
  <c r="Z25" i="1"/>
  <c r="R25" i="1"/>
  <c r="W25" i="1" s="1"/>
  <c r="AA25" i="1" s="1"/>
  <c r="L25" i="1"/>
  <c r="T25" i="1" s="1"/>
  <c r="F25" i="1"/>
  <c r="Z24" i="1"/>
  <c r="AA24" i="1" s="1"/>
  <c r="W24" i="1"/>
  <c r="T24" i="1"/>
  <c r="R24" i="1"/>
  <c r="L24" i="1"/>
  <c r="S24" i="1" s="1"/>
  <c r="U24" i="1" s="1"/>
  <c r="AC24" i="1" s="1"/>
  <c r="F24" i="1"/>
  <c r="Z23" i="1"/>
  <c r="AA23" i="1" s="1"/>
  <c r="W23" i="1"/>
  <c r="T23" i="1"/>
  <c r="R23" i="1"/>
  <c r="L23" i="1"/>
  <c r="S23" i="1" s="1"/>
  <c r="U23" i="1" s="1"/>
  <c r="AC23" i="1" s="1"/>
  <c r="F23" i="1"/>
  <c r="Z22" i="1"/>
  <c r="AA22" i="1" s="1"/>
  <c r="W22" i="1"/>
  <c r="R22" i="1"/>
  <c r="L22" i="1"/>
  <c r="T22" i="1" s="1"/>
  <c r="Z21" i="1"/>
  <c r="R21" i="1"/>
  <c r="W21" i="1" s="1"/>
  <c r="L21" i="1"/>
  <c r="T21" i="1" s="1"/>
  <c r="F21" i="1"/>
  <c r="Z20" i="1"/>
  <c r="AA20" i="1" s="1"/>
  <c r="R20" i="1"/>
  <c r="W20" i="1" s="1"/>
  <c r="L20" i="1"/>
  <c r="S20" i="1" s="1"/>
  <c r="F20" i="1"/>
  <c r="Z19" i="1"/>
  <c r="AA19" i="1" s="1"/>
  <c r="W19" i="1"/>
  <c r="R19" i="1"/>
  <c r="L19" i="1"/>
  <c r="T19" i="1" s="1"/>
  <c r="F19" i="1"/>
  <c r="Z18" i="1"/>
  <c r="AA18" i="1" s="1"/>
  <c r="W18" i="1"/>
  <c r="R18" i="1"/>
  <c r="S18" i="1" s="1"/>
  <c r="L18" i="1"/>
  <c r="T18" i="1" s="1"/>
  <c r="F18" i="1"/>
  <c r="Z17" i="1"/>
  <c r="AA17" i="1" s="1"/>
  <c r="W17" i="1"/>
  <c r="R17" i="1"/>
  <c r="L17" i="1"/>
  <c r="T17" i="1" s="1"/>
  <c r="Z16" i="1"/>
  <c r="R16" i="1"/>
  <c r="W16" i="1" s="1"/>
  <c r="L16" i="1"/>
  <c r="T16" i="1" s="1"/>
  <c r="F16" i="1"/>
  <c r="Z15" i="1"/>
  <c r="R15" i="1"/>
  <c r="W15" i="1" s="1"/>
  <c r="L15" i="1"/>
  <c r="T15" i="1" s="1"/>
  <c r="F15" i="1"/>
  <c r="AA14" i="1"/>
  <c r="Z14" i="1"/>
  <c r="W14" i="1"/>
  <c r="R14" i="1"/>
  <c r="L14" i="1"/>
  <c r="T14" i="1" s="1"/>
  <c r="F14" i="1"/>
  <c r="Z13" i="1"/>
  <c r="AA13" i="1" s="1"/>
  <c r="W13" i="1"/>
  <c r="S13" i="1"/>
  <c r="R13" i="1"/>
  <c r="L13" i="1"/>
  <c r="T13" i="1" s="1"/>
  <c r="F13" i="1"/>
  <c r="Z12" i="1"/>
  <c r="R12" i="1"/>
  <c r="W12" i="1" s="1"/>
  <c r="L12" i="1"/>
  <c r="Z11" i="1"/>
  <c r="R11" i="1"/>
  <c r="W11" i="1" s="1"/>
  <c r="L11" i="1"/>
  <c r="T11" i="1" s="1"/>
  <c r="F11" i="1"/>
  <c r="Z10" i="1"/>
  <c r="R10" i="1"/>
  <c r="S10" i="1" s="1"/>
  <c r="L10" i="1"/>
  <c r="F10" i="1"/>
  <c r="Z9" i="1"/>
  <c r="R9" i="1"/>
  <c r="W9" i="1" s="1"/>
  <c r="L9" i="1"/>
  <c r="T9" i="1" s="1"/>
  <c r="F9" i="1"/>
  <c r="Z8" i="1"/>
  <c r="R8" i="1"/>
  <c r="W8" i="1" s="1"/>
  <c r="L8" i="1"/>
  <c r="T8" i="1" s="1"/>
  <c r="F8" i="1"/>
  <c r="AA16" i="1" l="1"/>
  <c r="AA11" i="1"/>
  <c r="AA31" i="1"/>
  <c r="AA12" i="1"/>
  <c r="U18" i="1"/>
  <c r="AC18" i="1" s="1"/>
  <c r="U13" i="1"/>
  <c r="AC13" i="1" s="1"/>
  <c r="AA8" i="1"/>
  <c r="AA9" i="1"/>
  <c r="AA15" i="1"/>
  <c r="AA21" i="1"/>
  <c r="AA30" i="1"/>
  <c r="T10" i="1"/>
  <c r="U10" i="1" s="1"/>
  <c r="AC10" i="1" s="1"/>
  <c r="W10" i="1"/>
  <c r="AA10" i="1" s="1"/>
  <c r="T20" i="1"/>
  <c r="U20" i="1" s="1"/>
  <c r="AC20" i="1" s="1"/>
  <c r="S25" i="1"/>
  <c r="U25" i="1" s="1"/>
  <c r="AC25" i="1" s="1"/>
  <c r="S8" i="1"/>
  <c r="U8" i="1" s="1"/>
  <c r="AC8" i="1" s="1"/>
  <c r="S30" i="1"/>
  <c r="U30" i="1" s="1"/>
  <c r="AC30" i="1" s="1"/>
  <c r="S15" i="1"/>
  <c r="U15" i="1" s="1"/>
  <c r="AC15" i="1" s="1"/>
  <c r="S11" i="1"/>
  <c r="U11" i="1" s="1"/>
  <c r="AC11" i="1" s="1"/>
  <c r="S16" i="1"/>
  <c r="U16" i="1" s="1"/>
  <c r="AC16" i="1" s="1"/>
  <c r="S21" i="1"/>
  <c r="U21" i="1" s="1"/>
  <c r="AC21" i="1" s="1"/>
  <c r="S26" i="1"/>
  <c r="U26" i="1" s="1"/>
  <c r="AC26" i="1" s="1"/>
  <c r="S9" i="1"/>
  <c r="U9" i="1" s="1"/>
  <c r="AC9" i="1" s="1"/>
  <c r="S31" i="1"/>
  <c r="U31" i="1" s="1"/>
  <c r="AC31" i="1" s="1"/>
  <c r="S14" i="1"/>
  <c r="U14" i="1" s="1"/>
  <c r="AC14" i="1" s="1"/>
  <c r="S19" i="1"/>
  <c r="U19" i="1" s="1"/>
  <c r="AC19" i="1" s="1"/>
  <c r="S12" i="1"/>
  <c r="T12" i="1"/>
  <c r="S17" i="1"/>
  <c r="U17" i="1" s="1"/>
  <c r="AC17" i="1" s="1"/>
  <c r="S22" i="1"/>
  <c r="U22" i="1" s="1"/>
  <c r="AC22" i="1" s="1"/>
  <c r="U12" i="1" l="1"/>
  <c r="AC12" i="1" s="1"/>
</calcChain>
</file>

<file path=xl/sharedStrings.xml><?xml version="1.0" encoding="utf-8"?>
<sst xmlns="http://schemas.openxmlformats.org/spreadsheetml/2006/main" count="248" uniqueCount="170">
  <si>
    <t>Financial Data of Auto component manufactuting companies in the midcap segment (INR 100 to INR 400 crores) extracted from Screener.in for the period Year ending Mar2021 to Mar2025, alongwith the computed Variables required of the study</t>
  </si>
  <si>
    <t>N</t>
  </si>
  <si>
    <t>Company Name</t>
  </si>
  <si>
    <t>BSE No/ NSE</t>
  </si>
  <si>
    <t>Year End</t>
  </si>
  <si>
    <t>Revenue</t>
  </si>
  <si>
    <t>Revenue Growth Rate in %</t>
  </si>
  <si>
    <t>Inventories</t>
  </si>
  <si>
    <t>Trade Receivables</t>
  </si>
  <si>
    <t>Cash Equivalents</t>
  </si>
  <si>
    <t>Loans &amp; Advances</t>
  </si>
  <si>
    <t>Other Asset Items</t>
  </si>
  <si>
    <t>Total Current Assets</t>
  </si>
  <si>
    <t>Trade Payables</t>
  </si>
  <si>
    <t>Advance from Customers</t>
  </si>
  <si>
    <t>Other Liability Items</t>
  </si>
  <si>
    <t>Short‑term Borrowings</t>
  </si>
  <si>
    <t>Lease Liabilities</t>
  </si>
  <si>
    <t>Total Current Liabilities</t>
  </si>
  <si>
    <t>Current Ratio</t>
  </si>
  <si>
    <t>Quick Ratio</t>
  </si>
  <si>
    <t>Liquidity Index</t>
  </si>
  <si>
    <t>Total assets</t>
  </si>
  <si>
    <t>Capital Employed</t>
  </si>
  <si>
    <t>Operating Profit</t>
  </si>
  <si>
    <t>Other Income (normal)</t>
  </si>
  <si>
    <t>EBIT</t>
  </si>
  <si>
    <t>ROCE%</t>
  </si>
  <si>
    <t>D/E Ratio</t>
  </si>
  <si>
    <t>Interaction LI*D/E</t>
  </si>
  <si>
    <t>Kranti Industrie</t>
  </si>
  <si>
    <t>Sintercom India Limited</t>
  </si>
  <si>
    <t>INE129Z01016</t>
  </si>
  <si>
    <t>INE129Z01017</t>
  </si>
  <si>
    <t>INE129Z01018</t>
  </si>
  <si>
    <t>INE129Z01019</t>
  </si>
  <si>
    <t>INE129Z01020</t>
  </si>
  <si>
    <t>Pavna Industries Ltd</t>
  </si>
  <si>
    <t>543915 </t>
  </si>
  <si>
    <t>Him Teknoforge Ltd</t>
  </si>
  <si>
    <t>Universal Autofoundry Ltd</t>
  </si>
  <si>
    <t>Table 2: D/E</t>
  </si>
  <si>
    <t>BSE No</t>
  </si>
  <si>
    <t>Long‑term Borrowings</t>
  </si>
  <si>
    <t>Other Borrowings</t>
  </si>
  <si>
    <t>Total Debt</t>
  </si>
  <si>
    <t>Equity Capital</t>
  </si>
  <si>
    <t>Reserves</t>
  </si>
  <si>
    <t>Total Equity</t>
  </si>
  <si>
    <t>−0.01</t>
  </si>
  <si>
    <t>Table 1: Financial Data and Computed Variables</t>
  </si>
  <si>
    <t>Dependant Variable</t>
  </si>
  <si>
    <t>Independent (Predictor) Variables</t>
  </si>
  <si>
    <t>Main Effects</t>
  </si>
  <si>
    <t>2 way Interactions</t>
  </si>
  <si>
    <t>3 Way Interaction</t>
  </si>
  <si>
    <t>LI</t>
  </si>
  <si>
    <t>D/E</t>
  </si>
  <si>
    <t>Revenue Growth %</t>
  </si>
  <si>
    <t>LI*D/E</t>
  </si>
  <si>
    <t>LI*Revenue Growth %</t>
  </si>
  <si>
    <t>D/E*Revenue Growth %</t>
  </si>
  <si>
    <t>LI*D/E*Revenue Growth %</t>
  </si>
  <si>
    <t>Batch 1 data</t>
  </si>
  <si>
    <t>Statistical Summary of Batch 1 Variables</t>
  </si>
  <si>
    <t>Variable</t>
  </si>
  <si>
    <t>Mean</t>
  </si>
  <si>
    <t>Median</t>
  </si>
  <si>
    <t>Std Dev</t>
  </si>
  <si>
    <t>Min</t>
  </si>
  <si>
    <t>Max</t>
  </si>
  <si>
    <t>LI × D/E</t>
  </si>
  <si>
    <t>LI × Revenue Growth %</t>
  </si>
  <si>
    <t>D/E × Revenue Growth %</t>
  </si>
  <si>
    <t>LI × D/E × Growth %</t>
  </si>
  <si>
    <r>
      <t>ROCE%</t>
    </r>
    <r>
      <rPr>
        <sz val="11"/>
        <color theme="1"/>
        <rFont val="Aptos Narrow"/>
        <family val="2"/>
        <scheme val="minor"/>
      </rPr>
      <t>: Most firms cluster around 18–20%, with a few outliers pushing the average higher.</t>
    </r>
  </si>
  <si>
    <r>
      <t>LI and D/E</t>
    </r>
    <r>
      <rPr>
        <sz val="11"/>
        <color theme="1"/>
        <rFont val="Aptos Narrow"/>
        <family val="2"/>
        <scheme val="minor"/>
      </rPr>
      <t>: Both show moderate dispersion, confirming the bimodal leverage regimes noted earlier.</t>
    </r>
  </si>
  <si>
    <r>
      <t>Revenue Growth %</t>
    </r>
    <r>
      <rPr>
        <sz val="11"/>
        <color theme="1"/>
        <rFont val="Aptos Narrow"/>
        <family val="2"/>
        <scheme val="minor"/>
      </rPr>
      <t xml:space="preserve">: Highly volatile, ranging from </t>
    </r>
    <r>
      <rPr>
        <b/>
        <sz val="11"/>
        <color theme="1"/>
        <rFont val="Aptos Narrow"/>
        <family val="2"/>
        <scheme val="minor"/>
      </rPr>
      <t>-14.41% to +69.91%</t>
    </r>
    <r>
      <rPr>
        <sz val="11"/>
        <color theme="1"/>
        <rFont val="Aptos Narrow"/>
        <family val="2"/>
        <scheme val="minor"/>
      </rPr>
      <t>, with a long-tailed distribution.</t>
    </r>
  </si>
  <si>
    <r>
      <t>Interaction Terms</t>
    </r>
    <r>
      <rPr>
        <sz val="11"/>
        <color theme="1"/>
        <rFont val="Aptos Narrow"/>
        <family val="2"/>
        <scheme val="minor"/>
      </rPr>
      <t>:</t>
    </r>
  </si>
  <si>
    <r>
      <t>LI × Revenue Growth %</t>
    </r>
    <r>
      <rPr>
        <sz val="11"/>
        <color theme="1"/>
        <rFont val="Aptos Narrow"/>
        <family val="2"/>
        <scheme val="minor"/>
      </rPr>
      <t xml:space="preserve"> and </t>
    </r>
    <r>
      <rPr>
        <b/>
        <sz val="11"/>
        <color theme="1"/>
        <rFont val="Aptos Narrow"/>
        <family val="2"/>
        <scheme val="minor"/>
      </rPr>
      <t>LI × D/E × Revenue Growth %</t>
    </r>
    <r>
      <rPr>
        <sz val="11"/>
        <color theme="1"/>
        <rFont val="Aptos Narrow"/>
        <family val="2"/>
        <scheme val="minor"/>
      </rPr>
      <t xml:space="preserve"> have </t>
    </r>
    <r>
      <rPr>
        <b/>
        <sz val="11"/>
        <color theme="1"/>
        <rFont val="Aptos Narrow"/>
        <family val="2"/>
        <scheme val="minor"/>
      </rPr>
      <t>high standard deviations</t>
    </r>
    <r>
      <rPr>
        <sz val="11"/>
        <color theme="1"/>
        <rFont val="Aptos Narrow"/>
        <family val="2"/>
        <scheme val="minor"/>
      </rPr>
      <t>, confirming their role as volatility amplifiers.</t>
    </r>
  </si>
  <si>
    <r>
      <t>LI × D/E</t>
    </r>
    <r>
      <rPr>
        <sz val="11"/>
        <color theme="1"/>
        <rFont val="Aptos Narrow"/>
        <family val="2"/>
        <scheme val="minor"/>
      </rPr>
      <t xml:space="preserve"> is more stable, clustering around 0.8.</t>
    </r>
  </si>
  <si>
    <r>
      <t>ROCE is shaped by both main effects and interactions</t>
    </r>
    <r>
      <rPr>
        <sz val="11"/>
        <color theme="1"/>
        <rFont val="Aptos Narrow"/>
        <family val="2"/>
        <scheme val="minor"/>
      </rPr>
      <t xml:space="preserve"> — especially when leverage and growth align.</t>
    </r>
  </si>
  <si>
    <r>
      <t>High Risk Zone</t>
    </r>
    <r>
      <rPr>
        <sz val="11"/>
        <color theme="1"/>
        <rFont val="Aptos Narrow"/>
        <family val="2"/>
        <scheme val="minor"/>
      </rPr>
      <t>: Firms with high LI, high D/E, and high Growth % show extreme ROCE outcomes.</t>
    </r>
  </si>
  <si>
    <r>
      <t>Volatility Amplifiers</t>
    </r>
    <r>
      <rPr>
        <sz val="11"/>
        <color theme="1"/>
        <rFont val="Aptos Narrow"/>
        <family val="2"/>
        <scheme val="minor"/>
      </rPr>
      <t>: Interaction terms like LI × Revenue Growth % and LI × D/E × Revenue Growth % should be monitored for risk exposure.</t>
    </r>
  </si>
  <si>
    <t xml:space="preserve"> Insights</t>
  </si>
  <si>
    <t>Key Observations</t>
  </si>
  <si>
    <r>
      <t xml:space="preserve">Most firms cluster around </t>
    </r>
    <r>
      <rPr>
        <b/>
        <sz val="11"/>
        <color theme="1"/>
        <rFont val="Aptos Narrow"/>
        <family val="2"/>
        <scheme val="minor"/>
      </rPr>
      <t>15–20% ROCE</t>
    </r>
    <r>
      <rPr>
        <sz val="11"/>
        <color theme="1"/>
        <rFont val="Aptos Narrow"/>
        <family val="2"/>
        <scheme val="minor"/>
      </rPr>
      <t>, where the KDE curve peaks.</t>
    </r>
  </si>
  <si>
    <r>
      <t xml:space="preserve">A few outliers stretch beyond </t>
    </r>
    <r>
      <rPr>
        <b/>
        <sz val="11"/>
        <color theme="1"/>
        <rFont val="Aptos Narrow"/>
        <family val="2"/>
        <scheme val="minor"/>
      </rPr>
      <t>30%</t>
    </r>
    <r>
      <rPr>
        <sz val="11"/>
        <color theme="1"/>
        <rFont val="Aptos Narrow"/>
        <family val="2"/>
        <scheme val="minor"/>
      </rPr>
      <t>, creating a right‑skewed tail.</t>
    </r>
  </si>
  <si>
    <t>The spread is wide, with a standard deviation of ~8.3%, showing notable variation in firm performance.</t>
  </si>
  <si>
    <r>
      <t>Bimodal pattern</t>
    </r>
    <r>
      <rPr>
        <sz val="11"/>
        <color theme="1"/>
        <rFont val="Aptos Narrow"/>
        <family val="2"/>
        <scheme val="minor"/>
      </rPr>
      <t>: Two distinct leverage regimes are visible:</t>
    </r>
  </si>
  <si>
    <r>
      <t xml:space="preserve">First peak near </t>
    </r>
    <r>
      <rPr>
        <b/>
        <sz val="11"/>
        <color theme="1"/>
        <rFont val="Aptos Narrow"/>
        <family val="2"/>
        <scheme val="minor"/>
      </rPr>
      <t>0.8–1.0</t>
    </r>
    <r>
      <rPr>
        <sz val="11"/>
        <color theme="1"/>
        <rFont val="Aptos Narrow"/>
        <family val="2"/>
        <scheme val="minor"/>
      </rPr>
      <t xml:space="preserve"> → moderate leverage.</t>
    </r>
  </si>
  <si>
    <r>
      <t xml:space="preserve">Second peak near </t>
    </r>
    <r>
      <rPr>
        <b/>
        <sz val="11"/>
        <color theme="1"/>
        <rFont val="Aptos Narrow"/>
        <family val="2"/>
        <scheme val="minor"/>
      </rPr>
      <t>1.4–1.6</t>
    </r>
    <r>
      <rPr>
        <sz val="11"/>
        <color theme="1"/>
        <rFont val="Aptos Narrow"/>
        <family val="2"/>
        <scheme val="minor"/>
      </rPr>
      <t xml:space="preserve"> → high leverage.</t>
    </r>
  </si>
  <si>
    <r>
      <t>Dip between peaks</t>
    </r>
    <r>
      <rPr>
        <sz val="11"/>
        <color theme="1"/>
        <rFont val="Aptos Narrow"/>
        <family val="2"/>
        <scheme val="minor"/>
      </rPr>
      <t>: Indicates fewer firms operate in the transitional zone (~1.1–1.3).</t>
    </r>
  </si>
  <si>
    <r>
      <t>Volatility</t>
    </r>
    <r>
      <rPr>
        <sz val="11"/>
        <color theme="1"/>
        <rFont val="Aptos Narrow"/>
        <family val="2"/>
        <scheme val="minor"/>
      </rPr>
      <t xml:space="preserve">: Spread ranges from </t>
    </r>
    <r>
      <rPr>
        <b/>
        <sz val="11"/>
        <color theme="1"/>
        <rFont val="Aptos Narrow"/>
        <family val="2"/>
        <scheme val="minor"/>
      </rPr>
      <t>0.5 to 2.2</t>
    </r>
    <r>
      <rPr>
        <sz val="11"/>
        <color theme="1"/>
        <rFont val="Aptos Narrow"/>
        <family val="2"/>
        <scheme val="minor"/>
      </rPr>
      <t>, confirming segmentation.</t>
    </r>
  </si>
  <si>
    <r>
      <t>Peak zone</t>
    </r>
    <r>
      <rPr>
        <sz val="11"/>
        <color theme="1"/>
        <rFont val="Aptos Narrow"/>
        <family val="2"/>
        <scheme val="minor"/>
      </rPr>
      <t xml:space="preserve">: Most firms cluster between </t>
    </r>
    <r>
      <rPr>
        <b/>
        <sz val="11"/>
        <color theme="1"/>
        <rFont val="Aptos Narrow"/>
        <family val="2"/>
        <scheme val="minor"/>
      </rPr>
      <t>0.5 and 1.0</t>
    </r>
    <r>
      <rPr>
        <sz val="11"/>
        <color theme="1"/>
        <rFont val="Aptos Narrow"/>
        <family val="2"/>
        <scheme val="minor"/>
      </rPr>
      <t>, where the KDE curve peaks.</t>
    </r>
  </si>
  <si>
    <r>
      <t>Right skew</t>
    </r>
    <r>
      <rPr>
        <sz val="11"/>
        <color theme="1"/>
        <rFont val="Aptos Narrow"/>
        <family val="2"/>
        <scheme val="minor"/>
      </rPr>
      <t xml:space="preserve">: A few firms extend beyond </t>
    </r>
    <r>
      <rPr>
        <b/>
        <sz val="11"/>
        <color theme="1"/>
        <rFont val="Aptos Narrow"/>
        <family val="2"/>
        <scheme val="minor"/>
      </rPr>
      <t>1.5</t>
    </r>
    <r>
      <rPr>
        <sz val="11"/>
        <color theme="1"/>
        <rFont val="Aptos Narrow"/>
        <family val="2"/>
        <scheme val="minor"/>
      </rPr>
      <t>, creating a long tail.</t>
    </r>
  </si>
  <si>
    <r>
      <t>Volatility</t>
    </r>
    <r>
      <rPr>
        <sz val="11"/>
        <color theme="1"/>
        <rFont val="Aptos Narrow"/>
        <family val="2"/>
        <scheme val="minor"/>
      </rPr>
      <t xml:space="preserve">: Spread ranges from </t>
    </r>
    <r>
      <rPr>
        <b/>
        <sz val="11"/>
        <color theme="1"/>
        <rFont val="Aptos Narrow"/>
        <family val="2"/>
        <scheme val="minor"/>
      </rPr>
      <t>0.0 to 2.0</t>
    </r>
    <r>
      <rPr>
        <sz val="11"/>
        <color theme="1"/>
        <rFont val="Aptos Narrow"/>
        <family val="2"/>
        <scheme val="minor"/>
      </rPr>
      <t>, confirming moderate leverage dispersion.</t>
    </r>
  </si>
  <si>
    <r>
      <t>Peak zone</t>
    </r>
    <r>
      <rPr>
        <sz val="11"/>
        <color theme="1"/>
        <rFont val="Aptos Narrow"/>
        <family val="2"/>
        <scheme val="minor"/>
      </rPr>
      <t xml:space="preserve">: Most firms cluster around </t>
    </r>
    <r>
      <rPr>
        <b/>
        <sz val="11"/>
        <color theme="1"/>
        <rFont val="Aptos Narrow"/>
        <family val="2"/>
        <scheme val="minor"/>
      </rPr>
      <t>10–20% growth</t>
    </r>
    <r>
      <rPr>
        <sz val="11"/>
        <color theme="1"/>
        <rFont val="Aptos Narrow"/>
        <family val="2"/>
        <scheme val="minor"/>
      </rPr>
      <t>, where the KDE curve peaks.</t>
    </r>
  </si>
  <si>
    <r>
      <t>Volatility</t>
    </r>
    <r>
      <rPr>
        <sz val="11"/>
        <color theme="1"/>
        <rFont val="Aptos Narrow"/>
        <family val="2"/>
        <scheme val="minor"/>
      </rPr>
      <t xml:space="preserve">: Spread ranges from </t>
    </r>
    <r>
      <rPr>
        <b/>
        <sz val="11"/>
        <color theme="1"/>
        <rFont val="Aptos Narrow"/>
        <family val="2"/>
        <scheme val="minor"/>
      </rPr>
      <t>–40% to +80%</t>
    </r>
    <r>
      <rPr>
        <sz val="11"/>
        <color theme="1"/>
        <rFont val="Aptos Narrow"/>
        <family val="2"/>
        <scheme val="minor"/>
      </rPr>
      <t>, indicating extreme variability.</t>
    </r>
  </si>
  <si>
    <r>
      <t>Right skew</t>
    </r>
    <r>
      <rPr>
        <sz val="11"/>
        <color theme="1"/>
        <rFont val="Aptos Narrow"/>
        <family val="2"/>
        <scheme val="minor"/>
      </rPr>
      <t>: Long tail toward high-growth outliers, confirming asymmetric dispersion.</t>
    </r>
  </si>
  <si>
    <r>
      <t>Interpretation</t>
    </r>
    <r>
      <rPr>
        <sz val="11"/>
        <color theme="1"/>
        <rFont val="Aptos Narrow"/>
        <family val="2"/>
        <scheme val="minor"/>
      </rPr>
      <t>: This is the most volatile standalone driver in Batch 1, with wide dispersion and unpredictable behavior.</t>
    </r>
  </si>
  <si>
    <r>
      <t>Peak zone</t>
    </r>
    <r>
      <rPr>
        <sz val="11"/>
        <color theme="1"/>
        <rFont val="Aptos Narrow"/>
        <family val="2"/>
        <scheme val="minor"/>
      </rPr>
      <t xml:space="preserve">: Most firms cluster around </t>
    </r>
    <r>
      <rPr>
        <b/>
        <sz val="11"/>
        <color theme="1"/>
        <rFont val="Aptos Narrow"/>
        <family val="2"/>
        <scheme val="minor"/>
      </rPr>
      <t>1.0</t>
    </r>
    <r>
      <rPr>
        <sz val="11"/>
        <color theme="1"/>
        <rFont val="Aptos Narrow"/>
        <family val="2"/>
        <scheme val="minor"/>
      </rPr>
      <t>, where the KDE curve reaches its maximum.</t>
    </r>
  </si>
  <si>
    <r>
      <t>Compact spread</t>
    </r>
    <r>
      <rPr>
        <sz val="11"/>
        <color theme="1"/>
        <rFont val="Aptos Narrow"/>
        <family val="2"/>
        <scheme val="minor"/>
      </rPr>
      <t>: Distribution is tighter than standalone LI or D/E, indicating this interaction term stabilizes leverage effects.</t>
    </r>
  </si>
  <si>
    <r>
      <t>Interpretation</t>
    </r>
    <r>
      <rPr>
        <sz val="11"/>
        <color theme="1"/>
        <rFont val="Aptos Narrow"/>
        <family val="2"/>
        <scheme val="minor"/>
      </rPr>
      <t xml:space="preserve">: This product term acts as a </t>
    </r>
    <r>
      <rPr>
        <b/>
        <sz val="11"/>
        <color theme="1"/>
        <rFont val="Aptos Narrow"/>
        <family val="2"/>
        <scheme val="minor"/>
      </rPr>
      <t>moderate leverage proxy</t>
    </r>
    <r>
      <rPr>
        <sz val="11"/>
        <color theme="1"/>
        <rFont val="Aptos Narrow"/>
        <family val="2"/>
        <scheme val="minor"/>
      </rPr>
      <t>, with less volatility than its components.</t>
    </r>
  </si>
  <si>
    <r>
      <t>Peak zone</t>
    </r>
    <r>
      <rPr>
        <sz val="11"/>
        <color theme="1"/>
        <rFont val="Aptos Narrow"/>
        <family val="2"/>
        <scheme val="minor"/>
      </rPr>
      <t xml:space="preserve">: Most firms cluster around </t>
    </r>
    <r>
      <rPr>
        <b/>
        <sz val="11"/>
        <color theme="1"/>
        <rFont val="Aptos Narrow"/>
        <family val="2"/>
        <scheme val="minor"/>
      </rPr>
      <t>10–20</t>
    </r>
    <r>
      <rPr>
        <sz val="11"/>
        <color theme="1"/>
        <rFont val="Aptos Narrow"/>
        <family val="2"/>
        <scheme val="minor"/>
      </rPr>
      <t>, where the KDE curve reaches its maximum.</t>
    </r>
  </si>
  <si>
    <r>
      <t>Spread</t>
    </r>
    <r>
      <rPr>
        <sz val="11"/>
        <color theme="1"/>
        <rFont val="Aptos Narrow"/>
        <family val="2"/>
        <scheme val="minor"/>
      </rPr>
      <t xml:space="preserve">: Distribution spans from </t>
    </r>
    <r>
      <rPr>
        <b/>
        <sz val="11"/>
        <color theme="1"/>
        <rFont val="Aptos Narrow"/>
        <family val="2"/>
        <scheme val="minor"/>
      </rPr>
      <t>–40 to +80</t>
    </r>
    <r>
      <rPr>
        <sz val="11"/>
        <color theme="1"/>
        <rFont val="Aptos Narrow"/>
        <family val="2"/>
        <scheme val="minor"/>
      </rPr>
      <t>, confirming wide volatility.</t>
    </r>
  </si>
  <si>
    <r>
      <t>Interpretation</t>
    </r>
    <r>
      <rPr>
        <sz val="11"/>
        <color theme="1"/>
        <rFont val="Aptos Narrow"/>
        <family val="2"/>
        <scheme val="minor"/>
      </rPr>
      <t>: This interaction term amplifies growth volatility through leverage, making it a strong candidate for nonlinear modeling.</t>
    </r>
  </si>
  <si>
    <r>
      <t>Interpretation</t>
    </r>
    <r>
      <rPr>
        <sz val="11"/>
        <color theme="1"/>
        <rFont val="Aptos Narrow"/>
        <family val="2"/>
        <scheme val="minor"/>
      </rPr>
      <t>: This interaction term amplifies growth dispersion through leverage intensity, making it a strong candidate for nonlinear modeling.</t>
    </r>
  </si>
  <si>
    <t>I. Inputs</t>
  </si>
  <si>
    <r>
      <t>Leverage (LI):</t>
    </r>
    <r>
      <rPr>
        <sz val="11"/>
        <color theme="1"/>
        <rFont val="Aptos Narrow"/>
        <family val="2"/>
        <scheme val="minor"/>
      </rPr>
      <t xml:space="preserve"> Captures how asset intensity interacts with equity.</t>
    </r>
  </si>
  <si>
    <r>
      <t>Debt-to-Equity (D/E):</t>
    </r>
    <r>
      <rPr>
        <sz val="11"/>
        <color theme="1"/>
        <rFont val="Aptos Narrow"/>
        <family val="2"/>
        <scheme val="minor"/>
      </rPr>
      <t xml:space="preserve"> Reflects capital structure balance.</t>
    </r>
  </si>
  <si>
    <r>
      <t>Revenue Growth %:</t>
    </r>
    <r>
      <rPr>
        <sz val="11"/>
        <color theme="1"/>
        <rFont val="Aptos Narrow"/>
        <family val="2"/>
        <scheme val="minor"/>
      </rPr>
      <t xml:space="preserve"> Measures top‑line expansion or contraction.</t>
    </r>
  </si>
  <si>
    <t>Each input has its own distribution (already shown in histograms + KDE), with LI and D/E relatively compact, while Revenue Growth % is highly volatile.</t>
  </si>
  <si>
    <t>🔄 II. Combined Effect</t>
  </si>
  <si>
    <r>
      <t xml:space="preserve">When these three inputs overlap, they form </t>
    </r>
    <r>
      <rPr>
        <b/>
        <sz val="11"/>
        <color theme="1"/>
        <rFont val="Aptos Narrow"/>
        <family val="2"/>
        <scheme val="minor"/>
      </rPr>
      <t>interaction zones</t>
    </r>
    <r>
      <rPr>
        <sz val="11"/>
        <color theme="1"/>
        <rFont val="Aptos Narrow"/>
        <family val="2"/>
        <scheme val="minor"/>
      </rPr>
      <t>:</t>
    </r>
  </si>
  <si>
    <t>Zone</t>
  </si>
  <si>
    <t>Drivers Overlap</t>
  </si>
  <si>
    <t>Meaning</t>
  </si>
  <si>
    <t>High Leverage</t>
  </si>
  <si>
    <t>LI dominant</t>
  </si>
  <si>
    <t>Asset‑heavy firms, capital intensive</t>
  </si>
  <si>
    <t>Debt Burden</t>
  </si>
  <si>
    <t>LI + D/E</t>
  </si>
  <si>
    <t>Layered leverage → financial strain</t>
  </si>
  <si>
    <t>Rapid Growth</t>
  </si>
  <si>
    <t>D/E + Revenue Growth %</t>
  </si>
  <si>
    <t>Aggressive expansion, risk of overreach</t>
  </si>
  <si>
    <t>High Risk Zone</t>
  </si>
  <si>
    <t>LI + D/E + Revenue Growth %</t>
  </si>
  <si>
    <t>Volatility amplifier, nonlinear ROCE</t>
  </si>
  <si>
    <t>📈 III. ROCE Impact</t>
  </si>
  <si>
    <r>
      <t xml:space="preserve">Mapped along the </t>
    </r>
    <r>
      <rPr>
        <b/>
        <sz val="11"/>
        <color theme="1"/>
        <rFont val="Aptos Narrow"/>
        <family val="2"/>
        <scheme val="minor"/>
      </rPr>
      <t>D/E × Revenue Growth % axis</t>
    </r>
    <r>
      <rPr>
        <sz val="11"/>
        <color theme="1"/>
        <rFont val="Aptos Narrow"/>
        <family val="2"/>
        <scheme val="minor"/>
      </rPr>
      <t xml:space="preserve"> (–60 to +100):</t>
    </r>
  </si>
  <si>
    <r>
      <t>–60 to 0 → Heavy Losses 🔻</t>
    </r>
    <r>
      <rPr>
        <sz val="11"/>
        <color theme="1"/>
        <rFont val="Aptos Narrow"/>
        <family val="2"/>
        <scheme val="minor"/>
      </rPr>
      <t xml:space="preserve"> Declining growth + high debt erodes ROCE.</t>
    </r>
  </si>
  <si>
    <r>
      <t>0 to 30 → Mixed Zone ⚠️</t>
    </r>
    <r>
      <rPr>
        <sz val="11"/>
        <color theme="1"/>
        <rFont val="Aptos Narrow"/>
        <family val="2"/>
        <scheme val="minor"/>
      </rPr>
      <t xml:space="preserve"> Moderate leverage, uncertain growth outcomes.</t>
    </r>
  </si>
  <si>
    <r>
      <t>30 to 100 → Big Gains 🟢</t>
    </r>
    <r>
      <rPr>
        <sz val="11"/>
        <color theme="1"/>
        <rFont val="Aptos Narrow"/>
        <family val="2"/>
        <scheme val="minor"/>
      </rPr>
      <t xml:space="preserve"> High growth leveraged effectively → strong ROCE uplift.</t>
    </r>
  </si>
  <si>
    <r>
      <t xml:space="preserve">The KDE overlay shows most firms cluster around </t>
    </r>
    <r>
      <rPr>
        <b/>
        <sz val="11"/>
        <color theme="1"/>
        <rFont val="Aptos Narrow"/>
        <family val="2"/>
        <scheme val="minor"/>
      </rPr>
      <t>10–30</t>
    </r>
    <r>
      <rPr>
        <sz val="11"/>
        <color theme="1"/>
        <rFont val="Aptos Narrow"/>
        <family val="2"/>
        <scheme val="minor"/>
      </rPr>
      <t>, suggesting moderate ROCE potential, with pockets of outperformance and a few extreme outliers.</t>
    </r>
  </si>
  <si>
    <t>This is the “combined effect” layer — the Venn‑style overlap</t>
  </si>
  <si>
    <t>Consolidated Summary of ROCE Drivers &amp; Interactions</t>
  </si>
  <si>
    <t>I. Dependent Variable</t>
  </si>
  <si>
    <t>Return on Capital Employed (ROCE %)</t>
  </si>
  <si>
    <t>The ultimate performance metric, reflecting efficiency in generating returns from capital employed.</t>
  </si>
  <si>
    <r>
      <t xml:space="preserve">Sensitive to both </t>
    </r>
    <r>
      <rPr>
        <b/>
        <sz val="11"/>
        <color theme="1"/>
        <rFont val="Aptos Narrow"/>
        <family val="2"/>
        <scheme val="minor"/>
      </rPr>
      <t>structural factors (LI, D/E)</t>
    </r>
    <r>
      <rPr>
        <sz val="11"/>
        <color theme="1"/>
        <rFont val="Aptos Narrow"/>
        <family val="2"/>
        <scheme val="minor"/>
      </rPr>
      <t xml:space="preserve"> and </t>
    </r>
    <r>
      <rPr>
        <b/>
        <sz val="11"/>
        <color theme="1"/>
        <rFont val="Aptos Narrow"/>
        <family val="2"/>
        <scheme val="minor"/>
      </rPr>
      <t>dynamic factors (Revenue Growth %)</t>
    </r>
    <r>
      <rPr>
        <sz val="11"/>
        <color theme="1"/>
        <rFont val="Aptos Narrow"/>
        <family val="2"/>
        <scheme val="minor"/>
      </rPr>
      <t>.</t>
    </r>
  </si>
  <si>
    <t>II. Main Effects (Single Drivers)</t>
  </si>
  <si>
    <t>Driver</t>
  </si>
  <si>
    <t>Distribution Behavior</t>
  </si>
  <si>
    <t>Direct Effect on ROCE</t>
  </si>
  <si>
    <t>Leverage (LI)</t>
  </si>
  <si>
    <t>Bimodal peaks near 1.0 &amp; 1.5</t>
  </si>
  <si>
    <t>High LI → capital intensity, moderates ROCE volatility</t>
  </si>
  <si>
    <t>Debt-to-Equity (D/E)</t>
  </si>
  <si>
    <t>Clustered near 0.8–1.0</t>
  </si>
  <si>
    <t>Balanced D/E supports stability; extreme D/E increases risk</t>
  </si>
  <si>
    <t>Wide spread (–40% to +80%)</t>
  </si>
  <si>
    <t>Most volatile driver; growth boosts ROCE, decline erodes it</t>
  </si>
  <si>
    <t>III. Interactions (Combined Effects)</t>
  </si>
  <si>
    <t>Interaction Term</t>
  </si>
  <si>
    <t>Zone / Effect</t>
  </si>
  <si>
    <t>ROCE Impact</t>
  </si>
  <si>
    <t>Debt Burden zone</t>
  </si>
  <si>
    <t>Amplifies financial strain, moderates ROCE</t>
  </si>
  <si>
    <t>Rapid Growth zone</t>
  </si>
  <si>
    <t>Aggressive expansion, potential for high ROCE or collapse</t>
  </si>
  <si>
    <t>Leverage‑growth coupling</t>
  </si>
  <si>
    <t>Growth dispersion magnified by leverage intensity</t>
  </si>
  <si>
    <t>LI × D/E × Revenue Growth %</t>
  </si>
  <si>
    <t>Nonlinear volatility amplifier; strongest determinant of ROCE extremes</t>
  </si>
  <si>
    <t>🔑 Key Takeaways</t>
  </si>
  <si>
    <r>
      <t>ROCE is not driven linearly</t>
    </r>
    <r>
      <rPr>
        <sz val="11"/>
        <color theme="1"/>
        <rFont val="Aptos Narrow"/>
        <family val="2"/>
        <scheme val="minor"/>
      </rPr>
      <t xml:space="preserve"> — it emerges from the interplay of leverage, debt structure, and growth.</t>
    </r>
  </si>
  <si>
    <r>
      <t>Main effects</t>
    </r>
    <r>
      <rPr>
        <sz val="11"/>
        <color theme="1"/>
        <rFont val="Aptos Narrow"/>
        <family val="2"/>
        <scheme val="minor"/>
      </rPr>
      <t xml:space="preserve"> provide baseline tendencies, but </t>
    </r>
    <r>
      <rPr>
        <b/>
        <sz val="11"/>
        <color theme="1"/>
        <rFont val="Aptos Narrow"/>
        <family val="2"/>
        <scheme val="minor"/>
      </rPr>
      <t>interaction terms</t>
    </r>
    <r>
      <rPr>
        <sz val="11"/>
        <color theme="1"/>
        <rFont val="Aptos Narrow"/>
        <family val="2"/>
        <scheme val="minor"/>
      </rPr>
      <t xml:space="preserve"> explain volatility and extremes.</t>
    </r>
  </si>
  <si>
    <r>
      <t xml:space="preserve">The </t>
    </r>
    <r>
      <rPr>
        <b/>
        <sz val="11"/>
        <color theme="1"/>
        <rFont val="Aptos Narrow"/>
        <family val="2"/>
        <scheme val="minor"/>
      </rPr>
      <t>3‑way interaction (LI × D/E × Revenue Growth %)</t>
    </r>
    <r>
      <rPr>
        <sz val="11"/>
        <color theme="1"/>
        <rFont val="Aptos Narrow"/>
        <family val="2"/>
        <scheme val="minor"/>
      </rPr>
      <t xml:space="preserve"> is the most powerful driver, creating zones of </t>
    </r>
    <r>
      <rPr>
        <b/>
        <sz val="11"/>
        <color theme="1"/>
        <rFont val="Aptos Narrow"/>
        <family val="2"/>
        <scheme val="minor"/>
      </rPr>
      <t>Big Gains</t>
    </r>
    <r>
      <rPr>
        <sz val="11"/>
        <color theme="1"/>
        <rFont val="Aptos Narrow"/>
        <family val="2"/>
        <scheme val="minor"/>
      </rPr>
      <t xml:space="preserve"> or </t>
    </r>
    <r>
      <rPr>
        <b/>
        <sz val="11"/>
        <color theme="1"/>
        <rFont val="Aptos Narrow"/>
        <family val="2"/>
        <scheme val="minor"/>
      </rPr>
      <t>Heavy Losses</t>
    </r>
    <r>
      <rPr>
        <sz val="11"/>
        <color theme="1"/>
        <rFont val="Aptos Narrow"/>
        <family val="2"/>
        <scheme val="minor"/>
      </rPr>
      <t xml:space="preserve"> depending on alignment.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</si>
</sst>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u/>
      <sz val="11"/>
      <color theme="10"/>
      <name val="Aptos Narrow"/>
      <family val="2"/>
      <scheme val="minor"/>
    </font>
    <font>
      <sz val="11"/>
      <color theme="1"/>
      <name val="Aptos"/>
      <family val="2"/>
    </font>
    <font>
      <u/>
      <sz val="11"/>
      <color theme="10"/>
      <name val="Aptos"/>
      <family val="2"/>
    </font>
    <font>
      <sz val="11"/>
      <color rgb="FF22222F"/>
      <name val="Aptos"/>
      <family val="2"/>
    </font>
    <font>
      <sz val="11"/>
      <color rgb="FF212529"/>
      <name val="Aptos"/>
      <family val="2"/>
    </font>
    <font>
      <sz val="11"/>
      <color rgb="FF22222F"/>
      <name val="Arial"/>
      <family val="2"/>
    </font>
    <font>
      <sz val="11"/>
      <color rgb="FF333333"/>
      <name val="MyFirstFont"/>
    </font>
    <font>
      <sz val="11"/>
      <color rgb="FF22222F"/>
      <name val="Aptos"/>
      <family val="2"/>
    </font>
    <font>
      <b/>
      <sz val="12"/>
      <color theme="1"/>
      <name val="Aptos"/>
      <family val="2"/>
    </font>
    <font>
      <b/>
      <sz val="11"/>
      <color theme="1"/>
      <name val="Aptos"/>
      <family val="2"/>
    </font>
    <font>
      <b/>
      <sz val="11"/>
      <color theme="1"/>
      <name val="Aptos Narrow"/>
      <family val="2"/>
      <scheme val="minor"/>
    </font>
    <font>
      <b/>
      <sz val="13.5"/>
      <color theme="1"/>
      <name val="Aptos Narrow"/>
      <family val="2"/>
      <scheme val="minor"/>
    </font>
    <font>
      <b/>
      <sz val="18"/>
      <color theme="1"/>
      <name val="Aptos Narrow"/>
      <family val="2"/>
      <scheme val="minor"/>
    </font>
    <font>
      <b/>
      <sz val="24"/>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F8F8FC"/>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77">
    <xf numFmtId="0" fontId="0" fillId="0" borderId="0" xfId="0"/>
    <xf numFmtId="0" fontId="0" fillId="0" borderId="0" xfId="0" applyAlignment="1">
      <alignment horizontal="center" vertical="top"/>
    </xf>
    <xf numFmtId="0" fontId="0" fillId="0" borderId="0" xfId="0" applyAlignment="1">
      <alignment horizontal="center" vertical="center"/>
    </xf>
    <xf numFmtId="0" fontId="0" fillId="0" borderId="0" xfId="0" applyAlignment="1">
      <alignment wrapText="1"/>
    </xf>
    <xf numFmtId="0" fontId="2"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3" fillId="2" borderId="1" xfId="1" applyFont="1" applyFill="1" applyBorder="1" applyAlignment="1">
      <alignment horizontal="center" vertical="top" wrapText="1"/>
    </xf>
    <xf numFmtId="17" fontId="2" fillId="0" borderId="1" xfId="0" applyNumberFormat="1" applyFont="1" applyBorder="1" applyAlignment="1">
      <alignment horizontal="center" vertical="top" wrapText="1"/>
    </xf>
    <xf numFmtId="2" fontId="4" fillId="2" borderId="1" xfId="0" applyNumberFormat="1" applyFont="1" applyFill="1" applyBorder="1" applyAlignment="1">
      <alignment horizontal="center" vertical="top" wrapText="1"/>
    </xf>
    <xf numFmtId="2" fontId="2" fillId="2" borderId="1" xfId="0" applyNumberFormat="1" applyFont="1" applyFill="1" applyBorder="1" applyAlignment="1">
      <alignment horizontal="center" vertical="top" wrapText="1"/>
    </xf>
    <xf numFmtId="2" fontId="2" fillId="0" borderId="1" xfId="0" applyNumberFormat="1" applyFont="1" applyBorder="1" applyAlignment="1">
      <alignment horizontal="center" vertical="top" wrapText="1"/>
    </xf>
    <xf numFmtId="2" fontId="2" fillId="0" borderId="1" xfId="0" applyNumberFormat="1" applyFont="1" applyBorder="1" applyAlignment="1">
      <alignment horizontal="center" vertical="top"/>
    </xf>
    <xf numFmtId="2" fontId="0" fillId="0" borderId="1" xfId="0" applyNumberFormat="1" applyBorder="1" applyAlignment="1">
      <alignment horizontal="center" vertical="top"/>
    </xf>
    <xf numFmtId="0" fontId="5" fillId="0" borderId="1" xfId="0" applyFont="1" applyBorder="1" applyAlignment="1">
      <alignment horizontal="center" vertical="top" wrapText="1"/>
    </xf>
    <xf numFmtId="2" fontId="6" fillId="3" borderId="1" xfId="0" applyNumberFormat="1" applyFont="1" applyFill="1" applyBorder="1" applyAlignment="1">
      <alignment horizontal="center" vertical="top" wrapText="1"/>
    </xf>
    <xf numFmtId="2" fontId="4" fillId="3" borderId="1" xfId="0" applyNumberFormat="1" applyFont="1" applyFill="1" applyBorder="1" applyAlignment="1">
      <alignment horizontal="center" vertical="top" wrapText="1"/>
    </xf>
    <xf numFmtId="2" fontId="6" fillId="4" borderId="1" xfId="0" applyNumberFormat="1" applyFont="1" applyFill="1" applyBorder="1" applyAlignment="1">
      <alignment horizontal="center" vertical="top" wrapText="1"/>
    </xf>
    <xf numFmtId="0" fontId="4" fillId="0" borderId="1" xfId="0" applyFont="1" applyBorder="1" applyAlignment="1">
      <alignment horizontal="center" vertical="top" wrapText="1"/>
    </xf>
    <xf numFmtId="0" fontId="7" fillId="0" borderId="1" xfId="0" applyFont="1" applyBorder="1" applyAlignment="1">
      <alignment horizontal="center" vertical="top"/>
    </xf>
    <xf numFmtId="0" fontId="6" fillId="4" borderId="1" xfId="0" applyFont="1" applyFill="1" applyBorder="1" applyAlignment="1">
      <alignment horizontal="center" vertical="top" wrapText="1"/>
    </xf>
    <xf numFmtId="0" fontId="8"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0" fillId="0" borderId="1" xfId="0" applyBorder="1" applyAlignment="1">
      <alignment horizontal="center" vertical="top"/>
    </xf>
    <xf numFmtId="0" fontId="0" fillId="0" borderId="2" xfId="0" applyBorder="1"/>
    <xf numFmtId="0" fontId="8" fillId="0" borderId="0" xfId="0" applyFont="1" applyAlignment="1">
      <alignment vertical="center" wrapText="1"/>
    </xf>
    <xf numFmtId="0" fontId="5" fillId="0" borderId="0" xfId="0" applyFont="1" applyAlignment="1">
      <alignment horizontal="center"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1" fillId="2" borderId="1" xfId="1" applyFill="1" applyBorder="1" applyAlignment="1">
      <alignment horizontal="center" vertical="top" wrapText="1"/>
    </xf>
    <xf numFmtId="17" fontId="0" fillId="0" borderId="1" xfId="0" applyNumberFormat="1" applyBorder="1" applyAlignment="1">
      <alignment horizontal="center" vertical="top" wrapText="1"/>
    </xf>
    <xf numFmtId="2" fontId="0" fillId="0" borderId="1" xfId="0" applyNumberFormat="1" applyBorder="1" applyAlignment="1">
      <alignment horizontal="center" vertical="top" wrapText="1"/>
    </xf>
    <xf numFmtId="0" fontId="0" fillId="0" borderId="0" xfId="0" applyAlignment="1">
      <alignment horizontal="center" vertical="top" wrapText="1"/>
    </xf>
    <xf numFmtId="0" fontId="9" fillId="0" borderId="0" xfId="0" applyFont="1" applyAlignment="1">
      <alignment horizontal="center" vertical="center" wrapText="1"/>
    </xf>
    <xf numFmtId="0" fontId="9" fillId="0" borderId="0" xfId="0" applyFont="1" applyAlignment="1">
      <alignment horizontal="center" vertical="top" wrapText="1"/>
    </xf>
    <xf numFmtId="0" fontId="10" fillId="0" borderId="0" xfId="0" applyFont="1" applyAlignment="1">
      <alignment horizontal="center"/>
    </xf>
    <xf numFmtId="0" fontId="2" fillId="0" borderId="0" xfId="0" applyFont="1"/>
    <xf numFmtId="0" fontId="2"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top"/>
    </xf>
    <xf numFmtId="0" fontId="12" fillId="0" borderId="0" xfId="0" applyFont="1" applyAlignment="1">
      <alignment vertical="center"/>
    </xf>
    <xf numFmtId="0" fontId="11" fillId="0" borderId="0" xfId="0" applyFont="1" applyAlignment="1">
      <alignment horizontal="center" vertical="center" wrapText="1"/>
    </xf>
    <xf numFmtId="0" fontId="0" fillId="0" borderId="0" xfId="0" applyAlignment="1">
      <alignment vertical="center" wrapText="1"/>
    </xf>
    <xf numFmtId="0" fontId="11" fillId="0" borderId="0" xfId="0" applyFont="1" applyAlignment="1">
      <alignment vertical="center" wrapText="1"/>
    </xf>
    <xf numFmtId="0" fontId="0" fillId="0" borderId="0" xfId="0" applyAlignment="1">
      <alignment horizontal="left" vertical="center" indent="1"/>
    </xf>
    <xf numFmtId="0" fontId="11" fillId="0" borderId="0" xfId="0" applyFont="1" applyAlignment="1">
      <alignment horizontal="left" vertical="center" indent="1"/>
    </xf>
    <xf numFmtId="0" fontId="0" fillId="0" borderId="0" xfId="0" applyAlignment="1">
      <alignment horizontal="left" vertical="center" indent="2"/>
    </xf>
    <xf numFmtId="0" fontId="11" fillId="0" borderId="0" xfId="0" applyFont="1" applyAlignment="1">
      <alignment horizontal="left" vertical="center" indent="2"/>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0" xfId="0" applyFont="1" applyBorder="1"/>
    <xf numFmtId="0" fontId="0" fillId="0" borderId="0" xfId="0" applyBorder="1"/>
    <xf numFmtId="0" fontId="2" fillId="0" borderId="7" xfId="0" applyFont="1" applyBorder="1"/>
    <xf numFmtId="0" fontId="2" fillId="0" borderId="8" xfId="0" applyFont="1" applyBorder="1"/>
    <xf numFmtId="0" fontId="2" fillId="0" borderId="2" xfId="0" applyFont="1" applyBorder="1"/>
    <xf numFmtId="0" fontId="2" fillId="0" borderId="9" xfId="0" applyFont="1" applyBorder="1"/>
    <xf numFmtId="0" fontId="11" fillId="0" borderId="4" xfId="0" applyFont="1" applyBorder="1"/>
    <xf numFmtId="0" fontId="0" fillId="0" borderId="0" xfId="0" applyBorder="1" applyAlignment="1">
      <alignment horizontal="left" vertical="center" indent="1"/>
    </xf>
    <xf numFmtId="0" fontId="11" fillId="0" borderId="0" xfId="0" applyFont="1" applyBorder="1"/>
    <xf numFmtId="0" fontId="11" fillId="0" borderId="0" xfId="0" applyFont="1" applyBorder="1" applyAlignment="1">
      <alignment horizontal="left" vertical="center" indent="1"/>
    </xf>
    <xf numFmtId="0" fontId="13" fillId="0" borderId="0" xfId="0" applyFont="1" applyBorder="1" applyAlignment="1">
      <alignment vertical="center"/>
    </xf>
    <xf numFmtId="0" fontId="11"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Border="1"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14" fillId="0" borderId="6" xfId="0" applyFont="1" applyBorder="1" applyAlignment="1">
      <alignment vertical="center"/>
    </xf>
    <xf numFmtId="0" fontId="0" fillId="0" borderId="6" xfId="0" applyBorder="1"/>
    <xf numFmtId="0" fontId="13" fillId="0" borderId="6" xfId="0" applyFont="1" applyBorder="1" applyAlignment="1">
      <alignment vertical="center"/>
    </xf>
    <xf numFmtId="0" fontId="0" fillId="0" borderId="6" xfId="0" applyBorder="1" applyAlignment="1">
      <alignment horizontal="left" vertical="center" indent="1"/>
    </xf>
    <xf numFmtId="0" fontId="11" fillId="0" borderId="6" xfId="0" applyFont="1" applyBorder="1" applyAlignment="1">
      <alignment horizontal="left" vertical="center" indent="1"/>
    </xf>
    <xf numFmtId="0" fontId="0" fillId="0" borderId="6" xfId="0" applyBorder="1" applyAlignment="1">
      <alignment horizontal="left" vertical="center" indent="2"/>
    </xf>
    <xf numFmtId="0" fontId="11" fillId="0" borderId="6" xfId="0" applyFont="1" applyBorder="1" applyAlignment="1">
      <alignment horizontal="center" vertical="center" wrapText="1"/>
    </xf>
    <xf numFmtId="0" fontId="11" fillId="0" borderId="6" xfId="0" applyFont="1" applyBorder="1" applyAlignment="1">
      <alignment vertical="center" wrapText="1"/>
    </xf>
    <xf numFmtId="0" fontId="12" fillId="0" borderId="6"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6</xdr:col>
      <xdr:colOff>334038</xdr:colOff>
      <xdr:row>51</xdr:row>
      <xdr:rowOff>116612</xdr:rowOff>
    </xdr:to>
    <xdr:pic>
      <xdr:nvPicPr>
        <xdr:cNvPr id="4" name="Picture 3">
          <a:extLst>
            <a:ext uri="{FF2B5EF4-FFF2-40B4-BE49-F238E27FC236}">
              <a16:creationId xmlns:a16="http://schemas.microsoft.com/office/drawing/2014/main" id="{8899AD53-E601-40B2-B712-2D5B2B2CD67A}"/>
            </a:ext>
          </a:extLst>
        </xdr:cNvPr>
        <xdr:cNvPicPr>
          <a:picLocks noChangeAspect="1"/>
        </xdr:cNvPicPr>
      </xdr:nvPicPr>
      <xdr:blipFill>
        <a:blip xmlns:r="http://schemas.openxmlformats.org/officeDocument/2006/relationships" r:embed="rId1"/>
        <a:stretch>
          <a:fillRect/>
        </a:stretch>
      </xdr:blipFill>
      <xdr:spPr>
        <a:xfrm>
          <a:off x="609600" y="9281160"/>
          <a:ext cx="3382038" cy="2311172"/>
        </a:xfrm>
        <a:prstGeom prst="rect">
          <a:avLst/>
        </a:prstGeom>
      </xdr:spPr>
    </xdr:pic>
    <xdr:clientData/>
  </xdr:twoCellAnchor>
  <xdr:twoCellAnchor editAs="oneCell">
    <xdr:from>
      <xdr:col>2</xdr:col>
      <xdr:colOff>0</xdr:colOff>
      <xdr:row>54</xdr:row>
      <xdr:rowOff>0</xdr:rowOff>
    </xdr:from>
    <xdr:to>
      <xdr:col>7</xdr:col>
      <xdr:colOff>403860</xdr:colOff>
      <xdr:row>66</xdr:row>
      <xdr:rowOff>150492</xdr:rowOff>
    </xdr:to>
    <xdr:pic>
      <xdr:nvPicPr>
        <xdr:cNvPr id="7" name="Picture 6">
          <a:extLst>
            <a:ext uri="{FF2B5EF4-FFF2-40B4-BE49-F238E27FC236}">
              <a16:creationId xmlns:a16="http://schemas.microsoft.com/office/drawing/2014/main" id="{DDD47DBD-DDB0-4127-B8A5-FE0DD7BF4958}"/>
            </a:ext>
          </a:extLst>
        </xdr:cNvPr>
        <xdr:cNvPicPr>
          <a:picLocks noChangeAspect="1"/>
        </xdr:cNvPicPr>
      </xdr:nvPicPr>
      <xdr:blipFill>
        <a:blip xmlns:r="http://schemas.openxmlformats.org/officeDocument/2006/relationships" r:embed="rId2"/>
        <a:stretch>
          <a:fillRect/>
        </a:stretch>
      </xdr:blipFill>
      <xdr:spPr>
        <a:xfrm>
          <a:off x="1219200" y="12039600"/>
          <a:ext cx="3451860" cy="2345052"/>
        </a:xfrm>
        <a:prstGeom prst="rect">
          <a:avLst/>
        </a:prstGeom>
      </xdr:spPr>
    </xdr:pic>
    <xdr:clientData/>
  </xdr:twoCellAnchor>
  <xdr:twoCellAnchor editAs="oneCell">
    <xdr:from>
      <xdr:col>2</xdr:col>
      <xdr:colOff>0</xdr:colOff>
      <xdr:row>69</xdr:row>
      <xdr:rowOff>1</xdr:rowOff>
    </xdr:from>
    <xdr:to>
      <xdr:col>7</xdr:col>
      <xdr:colOff>543538</xdr:colOff>
      <xdr:row>82</xdr:row>
      <xdr:rowOff>7621</xdr:rowOff>
    </xdr:to>
    <xdr:pic>
      <xdr:nvPicPr>
        <xdr:cNvPr id="8" name="Picture 7">
          <a:extLst>
            <a:ext uri="{FF2B5EF4-FFF2-40B4-BE49-F238E27FC236}">
              <a16:creationId xmlns:a16="http://schemas.microsoft.com/office/drawing/2014/main" id="{3A2C8BB0-4200-A61B-A1E5-A0E6BEF79A7B}"/>
            </a:ext>
          </a:extLst>
        </xdr:cNvPr>
        <xdr:cNvPicPr>
          <a:picLocks noChangeAspect="1"/>
        </xdr:cNvPicPr>
      </xdr:nvPicPr>
      <xdr:blipFill>
        <a:blip xmlns:r="http://schemas.openxmlformats.org/officeDocument/2006/relationships" r:embed="rId3"/>
        <a:stretch>
          <a:fillRect/>
        </a:stretch>
      </xdr:blipFill>
      <xdr:spPr>
        <a:xfrm>
          <a:off x="1219200" y="14798041"/>
          <a:ext cx="3591538" cy="2385060"/>
        </a:xfrm>
        <a:prstGeom prst="rect">
          <a:avLst/>
        </a:prstGeom>
      </xdr:spPr>
    </xdr:pic>
    <xdr:clientData/>
  </xdr:twoCellAnchor>
  <xdr:twoCellAnchor editAs="oneCell">
    <xdr:from>
      <xdr:col>2</xdr:col>
      <xdr:colOff>1</xdr:colOff>
      <xdr:row>85</xdr:row>
      <xdr:rowOff>0</xdr:rowOff>
    </xdr:from>
    <xdr:to>
      <xdr:col>7</xdr:col>
      <xdr:colOff>589715</xdr:colOff>
      <xdr:row>98</xdr:row>
      <xdr:rowOff>106680</xdr:rowOff>
    </xdr:to>
    <xdr:pic>
      <xdr:nvPicPr>
        <xdr:cNvPr id="9" name="Picture 8">
          <a:extLst>
            <a:ext uri="{FF2B5EF4-FFF2-40B4-BE49-F238E27FC236}">
              <a16:creationId xmlns:a16="http://schemas.microsoft.com/office/drawing/2014/main" id="{7D8EB742-C63C-B815-3D3E-B00453DA441E}"/>
            </a:ext>
          </a:extLst>
        </xdr:cNvPr>
        <xdr:cNvPicPr>
          <a:picLocks noChangeAspect="1"/>
        </xdr:cNvPicPr>
      </xdr:nvPicPr>
      <xdr:blipFill>
        <a:blip xmlns:r="http://schemas.openxmlformats.org/officeDocument/2006/relationships" r:embed="rId4"/>
        <a:stretch>
          <a:fillRect/>
        </a:stretch>
      </xdr:blipFill>
      <xdr:spPr>
        <a:xfrm>
          <a:off x="1219201" y="17739360"/>
          <a:ext cx="3637714" cy="2484120"/>
        </a:xfrm>
        <a:prstGeom prst="rect">
          <a:avLst/>
        </a:prstGeom>
      </xdr:spPr>
    </xdr:pic>
    <xdr:clientData/>
  </xdr:twoCellAnchor>
  <xdr:twoCellAnchor editAs="oneCell">
    <xdr:from>
      <xdr:col>2</xdr:col>
      <xdr:colOff>0</xdr:colOff>
      <xdr:row>101</xdr:row>
      <xdr:rowOff>1</xdr:rowOff>
    </xdr:from>
    <xdr:to>
      <xdr:col>7</xdr:col>
      <xdr:colOff>596070</xdr:colOff>
      <xdr:row>114</xdr:row>
      <xdr:rowOff>68581</xdr:rowOff>
    </xdr:to>
    <xdr:pic>
      <xdr:nvPicPr>
        <xdr:cNvPr id="10" name="Picture 9">
          <a:extLst>
            <a:ext uri="{FF2B5EF4-FFF2-40B4-BE49-F238E27FC236}">
              <a16:creationId xmlns:a16="http://schemas.microsoft.com/office/drawing/2014/main" id="{D7CBC39F-C183-AD0B-59B1-0C5EE3C850D9}"/>
            </a:ext>
          </a:extLst>
        </xdr:cNvPr>
        <xdr:cNvPicPr>
          <a:picLocks noChangeAspect="1"/>
        </xdr:cNvPicPr>
      </xdr:nvPicPr>
      <xdr:blipFill>
        <a:blip xmlns:r="http://schemas.openxmlformats.org/officeDocument/2006/relationships" r:embed="rId5"/>
        <a:stretch>
          <a:fillRect/>
        </a:stretch>
      </xdr:blipFill>
      <xdr:spPr>
        <a:xfrm>
          <a:off x="1219200" y="20680681"/>
          <a:ext cx="3644070" cy="2446020"/>
        </a:xfrm>
        <a:prstGeom prst="rect">
          <a:avLst/>
        </a:prstGeom>
      </xdr:spPr>
    </xdr:pic>
    <xdr:clientData/>
  </xdr:twoCellAnchor>
  <xdr:twoCellAnchor editAs="oneCell">
    <xdr:from>
      <xdr:col>2</xdr:col>
      <xdr:colOff>0</xdr:colOff>
      <xdr:row>117</xdr:row>
      <xdr:rowOff>1</xdr:rowOff>
    </xdr:from>
    <xdr:to>
      <xdr:col>7</xdr:col>
      <xdr:colOff>603821</xdr:colOff>
      <xdr:row>130</xdr:row>
      <xdr:rowOff>137161</xdr:rowOff>
    </xdr:to>
    <xdr:pic>
      <xdr:nvPicPr>
        <xdr:cNvPr id="11" name="Picture 10">
          <a:extLst>
            <a:ext uri="{FF2B5EF4-FFF2-40B4-BE49-F238E27FC236}">
              <a16:creationId xmlns:a16="http://schemas.microsoft.com/office/drawing/2014/main" id="{430C04C2-B0C0-3E15-7561-EC1671AEB56C}"/>
            </a:ext>
          </a:extLst>
        </xdr:cNvPr>
        <xdr:cNvPicPr>
          <a:picLocks noChangeAspect="1"/>
        </xdr:cNvPicPr>
      </xdr:nvPicPr>
      <xdr:blipFill>
        <a:blip xmlns:r="http://schemas.openxmlformats.org/officeDocument/2006/relationships" r:embed="rId6"/>
        <a:stretch>
          <a:fillRect/>
        </a:stretch>
      </xdr:blipFill>
      <xdr:spPr>
        <a:xfrm>
          <a:off x="1219200" y="23622001"/>
          <a:ext cx="3651821" cy="2514600"/>
        </a:xfrm>
        <a:prstGeom prst="rect">
          <a:avLst/>
        </a:prstGeom>
      </xdr:spPr>
    </xdr:pic>
    <xdr:clientData/>
  </xdr:twoCellAnchor>
  <xdr:twoCellAnchor editAs="oneCell">
    <xdr:from>
      <xdr:col>2</xdr:col>
      <xdr:colOff>0</xdr:colOff>
      <xdr:row>133</xdr:row>
      <xdr:rowOff>1</xdr:rowOff>
    </xdr:from>
    <xdr:to>
      <xdr:col>8</xdr:col>
      <xdr:colOff>3701</xdr:colOff>
      <xdr:row>146</xdr:row>
      <xdr:rowOff>175261</xdr:rowOff>
    </xdr:to>
    <xdr:pic>
      <xdr:nvPicPr>
        <xdr:cNvPr id="12" name="Picture 11">
          <a:extLst>
            <a:ext uri="{FF2B5EF4-FFF2-40B4-BE49-F238E27FC236}">
              <a16:creationId xmlns:a16="http://schemas.microsoft.com/office/drawing/2014/main" id="{AF17B46A-C894-40FC-DA42-8B17E04B208F}"/>
            </a:ext>
          </a:extLst>
        </xdr:cNvPr>
        <xdr:cNvPicPr>
          <a:picLocks noChangeAspect="1"/>
        </xdr:cNvPicPr>
      </xdr:nvPicPr>
      <xdr:blipFill>
        <a:blip xmlns:r="http://schemas.openxmlformats.org/officeDocument/2006/relationships" r:embed="rId7"/>
        <a:stretch>
          <a:fillRect/>
        </a:stretch>
      </xdr:blipFill>
      <xdr:spPr>
        <a:xfrm>
          <a:off x="1219200" y="26563321"/>
          <a:ext cx="3661301" cy="2552700"/>
        </a:xfrm>
        <a:prstGeom prst="rect">
          <a:avLst/>
        </a:prstGeom>
      </xdr:spPr>
    </xdr:pic>
    <xdr:clientData/>
  </xdr:twoCellAnchor>
  <xdr:twoCellAnchor editAs="oneCell">
    <xdr:from>
      <xdr:col>1</xdr:col>
      <xdr:colOff>111686</xdr:colOff>
      <xdr:row>150</xdr:row>
      <xdr:rowOff>60960</xdr:rowOff>
    </xdr:from>
    <xdr:to>
      <xdr:col>9</xdr:col>
      <xdr:colOff>4487</xdr:colOff>
      <xdr:row>165</xdr:row>
      <xdr:rowOff>179535</xdr:rowOff>
    </xdr:to>
    <xdr:pic>
      <xdr:nvPicPr>
        <xdr:cNvPr id="13" name="Picture 12">
          <a:extLst>
            <a:ext uri="{FF2B5EF4-FFF2-40B4-BE49-F238E27FC236}">
              <a16:creationId xmlns:a16="http://schemas.microsoft.com/office/drawing/2014/main" id="{DC36FD3B-FAC5-59B1-1522-28450EF36FEE}"/>
            </a:ext>
          </a:extLst>
        </xdr:cNvPr>
        <xdr:cNvPicPr>
          <a:picLocks noChangeAspect="1"/>
        </xdr:cNvPicPr>
      </xdr:nvPicPr>
      <xdr:blipFill>
        <a:blip xmlns:r="http://schemas.openxmlformats.org/officeDocument/2006/relationships" r:embed="rId8"/>
        <a:stretch>
          <a:fillRect/>
        </a:stretch>
      </xdr:blipFill>
      <xdr:spPr>
        <a:xfrm>
          <a:off x="721286" y="29748480"/>
          <a:ext cx="4769601" cy="32732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reener.in/company/542459/consolidated/" TargetMode="External"/><Relationship Id="rId2" Type="http://schemas.openxmlformats.org/officeDocument/2006/relationships/hyperlink" Target="https://www.screener.in/company/542459/consolidated/" TargetMode="External"/><Relationship Id="rId1" Type="http://schemas.openxmlformats.org/officeDocument/2006/relationships/hyperlink" Target="https://www.screener.in/company/542459/consolidated/" TargetMode="External"/><Relationship Id="rId4" Type="http://schemas.openxmlformats.org/officeDocument/2006/relationships/hyperlink" Target="https://www.screener.in/company/542459/consolidate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789E-60AB-4B2E-8E12-5345BC356CFF}">
  <dimension ref="A2:AC63"/>
  <sheetViews>
    <sheetView topLeftCell="A3" zoomScale="75" zoomScaleNormal="75" workbookViewId="0">
      <selection activeCell="J4" sqref="J4"/>
    </sheetView>
  </sheetViews>
  <sheetFormatPr defaultRowHeight="14.4"/>
  <cols>
    <col min="1" max="1" width="3.21875" style="1" customWidth="1"/>
    <col min="3" max="4" width="9" bestFit="1" customWidth="1"/>
    <col min="5" max="5" width="10.88671875" bestFit="1" customWidth="1"/>
    <col min="6" max="6" width="13.44140625" bestFit="1" customWidth="1"/>
    <col min="7" max="18" width="9" bestFit="1" customWidth="1"/>
    <col min="19" max="20" width="12.77734375" bestFit="1" customWidth="1"/>
    <col min="21" max="21" width="10.77734375" bestFit="1" customWidth="1"/>
    <col min="22" max="22" width="8" customWidth="1"/>
    <col min="23" max="29" width="9" bestFit="1" customWidth="1"/>
  </cols>
  <sheetData>
    <row r="2" spans="1:29" s="2" customFormat="1" ht="24" customHeight="1">
      <c r="A2" s="1"/>
      <c r="B2" s="33" t="s">
        <v>0</v>
      </c>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5" spans="1:29" ht="15.6">
      <c r="B5" s="34" t="s">
        <v>50</v>
      </c>
      <c r="C5" s="34"/>
      <c r="D5" s="34"/>
      <c r="E5" s="34"/>
      <c r="F5" s="34"/>
      <c r="G5" s="34"/>
      <c r="H5" s="34"/>
      <c r="I5" s="3"/>
      <c r="J5" s="3"/>
      <c r="K5" s="3"/>
      <c r="L5" s="3"/>
      <c r="M5" s="3"/>
      <c r="N5" s="3"/>
      <c r="O5" s="3"/>
      <c r="P5" s="3"/>
      <c r="Q5" s="3"/>
      <c r="R5" s="3"/>
      <c r="S5" s="3"/>
      <c r="T5" s="3"/>
    </row>
    <row r="6" spans="1:29">
      <c r="B6" s="3"/>
      <c r="C6" s="3"/>
      <c r="D6" s="3"/>
      <c r="E6" s="3"/>
      <c r="F6" s="3"/>
      <c r="G6" s="3"/>
      <c r="H6" s="3"/>
      <c r="I6" s="3"/>
      <c r="J6" s="3"/>
      <c r="K6" s="3"/>
      <c r="L6" s="3"/>
      <c r="M6" s="3"/>
      <c r="N6" s="3"/>
      <c r="O6" s="3"/>
      <c r="P6" s="3"/>
      <c r="Q6" s="3"/>
      <c r="R6" s="3"/>
      <c r="S6" s="3"/>
      <c r="T6" s="3"/>
    </row>
    <row r="7" spans="1:29" ht="57.6">
      <c r="A7" s="1" t="s">
        <v>1</v>
      </c>
      <c r="B7" s="4" t="s">
        <v>2</v>
      </c>
      <c r="C7" s="4" t="s">
        <v>3</v>
      </c>
      <c r="D7" s="5" t="s">
        <v>4</v>
      </c>
      <c r="E7" s="4" t="s">
        <v>5</v>
      </c>
      <c r="F7" s="4" t="s">
        <v>6</v>
      </c>
      <c r="G7" s="5" t="s">
        <v>7</v>
      </c>
      <c r="H7" s="5" t="s">
        <v>8</v>
      </c>
      <c r="I7" s="5" t="s">
        <v>9</v>
      </c>
      <c r="J7" s="5" t="s">
        <v>10</v>
      </c>
      <c r="K7" s="5" t="s">
        <v>11</v>
      </c>
      <c r="L7" s="5" t="s">
        <v>12</v>
      </c>
      <c r="M7" s="5" t="s">
        <v>13</v>
      </c>
      <c r="N7" s="5" t="s">
        <v>14</v>
      </c>
      <c r="O7" s="5" t="s">
        <v>15</v>
      </c>
      <c r="P7" s="5" t="s">
        <v>16</v>
      </c>
      <c r="Q7" s="5" t="s">
        <v>17</v>
      </c>
      <c r="R7" s="5" t="s">
        <v>18</v>
      </c>
      <c r="S7" s="5" t="s">
        <v>19</v>
      </c>
      <c r="T7" s="5" t="s">
        <v>20</v>
      </c>
      <c r="U7" s="5" t="s">
        <v>21</v>
      </c>
      <c r="V7" s="5" t="s">
        <v>22</v>
      </c>
      <c r="W7" s="5" t="s">
        <v>23</v>
      </c>
      <c r="X7" s="5" t="s">
        <v>24</v>
      </c>
      <c r="Y7" s="5" t="s">
        <v>25</v>
      </c>
      <c r="Z7" s="5" t="s">
        <v>26</v>
      </c>
      <c r="AA7" s="5" t="s">
        <v>27</v>
      </c>
      <c r="AB7" s="6" t="s">
        <v>28</v>
      </c>
      <c r="AC7" s="5" t="s">
        <v>29</v>
      </c>
    </row>
    <row r="8" spans="1:29" ht="28.8">
      <c r="A8" s="1">
        <v>1</v>
      </c>
      <c r="B8" s="7" t="s">
        <v>30</v>
      </c>
      <c r="C8" s="4">
        <v>542459</v>
      </c>
      <c r="D8" s="8">
        <v>45717</v>
      </c>
      <c r="E8" s="9">
        <v>72.209999999999994</v>
      </c>
      <c r="F8" s="10">
        <f>100*(E8-E9)/E9</f>
        <v>-13.344533781351259</v>
      </c>
      <c r="G8" s="11">
        <v>17.27</v>
      </c>
      <c r="H8" s="11">
        <v>10.42</v>
      </c>
      <c r="I8" s="11">
        <v>0.14000000000000001</v>
      </c>
      <c r="J8" s="11">
        <v>0.56999999999999995</v>
      </c>
      <c r="K8" s="11">
        <v>9.82</v>
      </c>
      <c r="L8" s="11">
        <f>SUM(G8:K8)</f>
        <v>38.22</v>
      </c>
      <c r="M8" s="11">
        <v>7.86</v>
      </c>
      <c r="N8" s="11">
        <v>0.03</v>
      </c>
      <c r="O8" s="11">
        <v>3.42</v>
      </c>
      <c r="P8" s="11">
        <v>15.53</v>
      </c>
      <c r="Q8" s="11">
        <v>1.26</v>
      </c>
      <c r="R8" s="11">
        <f>SUM(M8:Q8)</f>
        <v>28.1</v>
      </c>
      <c r="S8" s="11">
        <f>L8/R8</f>
        <v>1.3601423487544484</v>
      </c>
      <c r="T8" s="11">
        <f>(L8-G8-K8)/R8</f>
        <v>0.396085409252669</v>
      </c>
      <c r="U8" s="12">
        <f>(S8+T8)/2</f>
        <v>0.87811387900355875</v>
      </c>
      <c r="V8" s="12">
        <v>93.82</v>
      </c>
      <c r="W8" s="12">
        <f>V8-R8</f>
        <v>65.72</v>
      </c>
      <c r="X8" s="12">
        <v>7.62</v>
      </c>
      <c r="Y8" s="12">
        <v>0.87</v>
      </c>
      <c r="Z8" s="12">
        <f>X8+Y8</f>
        <v>8.49</v>
      </c>
      <c r="AA8" s="12">
        <f t="shared" ref="AA8:AA13" si="0">(Z8/W8)*100</f>
        <v>12.918441874619599</v>
      </c>
      <c r="AB8" s="12">
        <v>0.9</v>
      </c>
      <c r="AC8" s="12">
        <f>U8*AB8</f>
        <v>0.79030249110320294</v>
      </c>
    </row>
    <row r="9" spans="1:29" ht="28.8">
      <c r="A9" s="1">
        <v>1</v>
      </c>
      <c r="B9" s="7" t="s">
        <v>30</v>
      </c>
      <c r="C9" s="4">
        <v>542459</v>
      </c>
      <c r="D9" s="8">
        <v>45352</v>
      </c>
      <c r="E9" s="9">
        <v>83.33</v>
      </c>
      <c r="F9" s="10">
        <f t="shared" ref="F9:F11" si="1">100*(E9-E10)/E10</f>
        <v>-8.8293216630196998</v>
      </c>
      <c r="G9" s="11">
        <v>12.07</v>
      </c>
      <c r="H9" s="11">
        <v>13.51</v>
      </c>
      <c r="I9" s="11">
        <v>0.08</v>
      </c>
      <c r="J9" s="11">
        <v>0.59</v>
      </c>
      <c r="K9" s="11">
        <v>5.21</v>
      </c>
      <c r="L9" s="11">
        <f t="shared" ref="L9:L12" si="2">SUM(G9:K9)</f>
        <v>31.459999999999997</v>
      </c>
      <c r="M9" s="11">
        <v>8.82</v>
      </c>
      <c r="N9" s="11">
        <v>7.0000000000000007E-2</v>
      </c>
      <c r="O9" s="11">
        <v>4.0999999999999996</v>
      </c>
      <c r="P9" s="11">
        <v>11.31</v>
      </c>
      <c r="Q9" s="11">
        <v>2</v>
      </c>
      <c r="R9" s="11">
        <f t="shared" ref="R9:R12" si="3">SUM(M9:Q9)</f>
        <v>26.3</v>
      </c>
      <c r="S9" s="11">
        <f t="shared" ref="S9:S12" si="4">L9/R9</f>
        <v>1.1961977186311785</v>
      </c>
      <c r="T9" s="11">
        <f t="shared" ref="T9:T12" si="5">(L9-G9-K9)/R9</f>
        <v>0.53916349809885911</v>
      </c>
      <c r="U9" s="12">
        <f t="shared" ref="U9:U12" si="6">(S9+T9)/2</f>
        <v>0.86768060836501881</v>
      </c>
      <c r="V9" s="12">
        <v>80.95</v>
      </c>
      <c r="W9" s="12">
        <f t="shared" ref="W9:W12" si="7">V9-R9</f>
        <v>54.650000000000006</v>
      </c>
      <c r="X9" s="12">
        <v>10.38</v>
      </c>
      <c r="Y9" s="12">
        <v>0.23</v>
      </c>
      <c r="Z9" s="12">
        <f t="shared" ref="Z9:Z12" si="8">X9+Y9</f>
        <v>10.610000000000001</v>
      </c>
      <c r="AA9" s="12">
        <f t="shared" si="0"/>
        <v>19.414455626715462</v>
      </c>
      <c r="AB9" s="12">
        <v>1.04</v>
      </c>
      <c r="AC9" s="12">
        <f t="shared" ref="AC9:AC12" si="9">U9*AB9</f>
        <v>0.90238783269961964</v>
      </c>
    </row>
    <row r="10" spans="1:29" ht="28.8">
      <c r="A10" s="1">
        <v>1</v>
      </c>
      <c r="B10" s="7" t="s">
        <v>30</v>
      </c>
      <c r="C10" s="4">
        <v>542459</v>
      </c>
      <c r="D10" s="8">
        <v>44986</v>
      </c>
      <c r="E10" s="9">
        <v>91.4</v>
      </c>
      <c r="F10" s="10">
        <f t="shared" si="1"/>
        <v>-0.40318186771274966</v>
      </c>
      <c r="G10" s="11">
        <v>9.24</v>
      </c>
      <c r="H10" s="11">
        <v>8.3699999999999992</v>
      </c>
      <c r="I10" s="11">
        <v>0.01</v>
      </c>
      <c r="J10" s="11">
        <v>0.47</v>
      </c>
      <c r="K10" s="11">
        <v>1.49</v>
      </c>
      <c r="L10" s="11">
        <f t="shared" si="2"/>
        <v>19.579999999999998</v>
      </c>
      <c r="M10" s="11">
        <v>10.039999999999999</v>
      </c>
      <c r="N10" s="11">
        <v>0</v>
      </c>
      <c r="O10" s="11">
        <v>3.56</v>
      </c>
      <c r="P10" s="11">
        <v>13.27</v>
      </c>
      <c r="Q10" s="11">
        <v>2.7</v>
      </c>
      <c r="R10" s="11">
        <f t="shared" si="3"/>
        <v>29.569999999999997</v>
      </c>
      <c r="S10" s="11">
        <f t="shared" si="4"/>
        <v>0.66215759215421033</v>
      </c>
      <c r="T10" s="11">
        <f t="shared" si="5"/>
        <v>0.29928982076428812</v>
      </c>
      <c r="U10" s="12">
        <f t="shared" si="6"/>
        <v>0.48072370645924922</v>
      </c>
      <c r="V10" s="12">
        <v>70.349999999999994</v>
      </c>
      <c r="W10" s="12">
        <f t="shared" si="7"/>
        <v>40.78</v>
      </c>
      <c r="X10" s="12">
        <v>9.1300000000000008</v>
      </c>
      <c r="Y10" s="12">
        <v>0.04</v>
      </c>
      <c r="Z10" s="12">
        <f t="shared" si="8"/>
        <v>9.17</v>
      </c>
      <c r="AA10" s="12">
        <f t="shared" si="0"/>
        <v>22.486512996566944</v>
      </c>
      <c r="AB10" s="12">
        <v>1.33</v>
      </c>
      <c r="AC10" s="12">
        <f t="shared" si="9"/>
        <v>0.63936252959080153</v>
      </c>
    </row>
    <row r="11" spans="1:29" ht="28.8">
      <c r="A11" s="1">
        <v>1</v>
      </c>
      <c r="B11" s="7" t="s">
        <v>30</v>
      </c>
      <c r="C11" s="4">
        <v>542459</v>
      </c>
      <c r="D11" s="8">
        <v>44621</v>
      </c>
      <c r="E11" s="9">
        <v>91.77</v>
      </c>
      <c r="F11" s="10">
        <f t="shared" si="1"/>
        <v>69.912979077948535</v>
      </c>
      <c r="G11" s="11">
        <v>8.25</v>
      </c>
      <c r="H11" s="11">
        <v>6.09</v>
      </c>
      <c r="I11" s="11">
        <v>0</v>
      </c>
      <c r="J11" s="11">
        <v>0.43</v>
      </c>
      <c r="K11" s="11">
        <v>0.55000000000000004</v>
      </c>
      <c r="L11" s="11">
        <f t="shared" si="2"/>
        <v>15.32</v>
      </c>
      <c r="M11" s="11">
        <v>8.4</v>
      </c>
      <c r="N11" s="11">
        <v>0.11</v>
      </c>
      <c r="O11" s="11">
        <v>3.64</v>
      </c>
      <c r="P11" s="11">
        <v>11.7</v>
      </c>
      <c r="Q11" s="11">
        <v>3.48</v>
      </c>
      <c r="R11" s="11">
        <f t="shared" si="3"/>
        <v>27.330000000000002</v>
      </c>
      <c r="S11" s="11">
        <f t="shared" si="4"/>
        <v>0.56055616538602271</v>
      </c>
      <c r="T11" s="11">
        <f t="shared" si="5"/>
        <v>0.23856567874130991</v>
      </c>
      <c r="U11" s="12">
        <f t="shared" si="6"/>
        <v>0.39956092206366634</v>
      </c>
      <c r="V11" s="12">
        <v>59.14</v>
      </c>
      <c r="W11" s="12">
        <f t="shared" si="7"/>
        <v>31.81</v>
      </c>
      <c r="X11" s="12">
        <v>8.43</v>
      </c>
      <c r="Y11" s="12">
        <v>0.17</v>
      </c>
      <c r="Z11" s="12">
        <f t="shared" si="8"/>
        <v>8.6</v>
      </c>
      <c r="AA11" s="12">
        <f t="shared" si="0"/>
        <v>27.035523420308078</v>
      </c>
      <c r="AB11" s="12">
        <v>1.1100000000000001</v>
      </c>
      <c r="AC11" s="12">
        <f t="shared" si="9"/>
        <v>0.44351262349066967</v>
      </c>
    </row>
    <row r="12" spans="1:29" ht="28.8">
      <c r="A12" s="1">
        <v>1</v>
      </c>
      <c r="B12" s="7" t="s">
        <v>30</v>
      </c>
      <c r="C12" s="4">
        <v>542459</v>
      </c>
      <c r="D12" s="8">
        <v>44256</v>
      </c>
      <c r="E12" s="9">
        <v>54.01</v>
      </c>
      <c r="F12" s="13">
        <v>13.585699263932705</v>
      </c>
      <c r="G12" s="11">
        <v>7.81</v>
      </c>
      <c r="H12" s="11">
        <v>8.56</v>
      </c>
      <c r="I12" s="11">
        <v>1.59</v>
      </c>
      <c r="J12" s="11">
        <v>0.67</v>
      </c>
      <c r="K12" s="11">
        <v>0.9</v>
      </c>
      <c r="L12" s="11">
        <f t="shared" si="2"/>
        <v>19.53</v>
      </c>
      <c r="M12" s="11">
        <v>10.42</v>
      </c>
      <c r="N12" s="11">
        <v>0.03</v>
      </c>
      <c r="O12" s="11">
        <v>3</v>
      </c>
      <c r="P12" s="11">
        <v>6.49</v>
      </c>
      <c r="Q12" s="11">
        <v>0.53</v>
      </c>
      <c r="R12" s="11">
        <f t="shared" si="3"/>
        <v>20.47</v>
      </c>
      <c r="S12" s="11">
        <f t="shared" si="4"/>
        <v>0.95407914020517837</v>
      </c>
      <c r="T12" s="11">
        <f t="shared" si="5"/>
        <v>0.52857840742550088</v>
      </c>
      <c r="U12" s="12">
        <f t="shared" si="6"/>
        <v>0.74132877381533957</v>
      </c>
      <c r="V12" s="12">
        <v>57.05</v>
      </c>
      <c r="W12" s="12">
        <f t="shared" si="7"/>
        <v>36.58</v>
      </c>
      <c r="X12" s="12">
        <v>4.5999999999999996</v>
      </c>
      <c r="Y12" s="12">
        <v>0.09</v>
      </c>
      <c r="Z12" s="12">
        <f t="shared" si="8"/>
        <v>4.6899999999999995</v>
      </c>
      <c r="AA12" s="12">
        <f t="shared" si="0"/>
        <v>12.821213778020777</v>
      </c>
      <c r="AB12" s="12">
        <v>1.1599999999999999</v>
      </c>
      <c r="AC12" s="12">
        <f t="shared" si="9"/>
        <v>0.85994137762579381</v>
      </c>
    </row>
    <row r="13" spans="1:29" ht="43.2">
      <c r="A13" s="1">
        <v>2</v>
      </c>
      <c r="B13" s="14" t="s">
        <v>31</v>
      </c>
      <c r="C13" s="14" t="s">
        <v>32</v>
      </c>
      <c r="D13" s="8">
        <v>45717</v>
      </c>
      <c r="E13" s="15">
        <v>90.01</v>
      </c>
      <c r="F13" s="10">
        <f>100*(E13-E14)/E14</f>
        <v>2.6222779614639284</v>
      </c>
      <c r="G13" s="15">
        <v>49</v>
      </c>
      <c r="H13" s="16">
        <v>48</v>
      </c>
      <c r="I13" s="15">
        <v>0</v>
      </c>
      <c r="J13" s="11">
        <v>3</v>
      </c>
      <c r="K13" s="11">
        <v>7</v>
      </c>
      <c r="L13" s="11">
        <f>SUM(G13:K13)</f>
        <v>107</v>
      </c>
      <c r="M13" s="17">
        <v>20.92</v>
      </c>
      <c r="N13" s="11">
        <v>0</v>
      </c>
      <c r="O13" s="17">
        <v>21.12</v>
      </c>
      <c r="P13" s="15">
        <v>23.34</v>
      </c>
      <c r="Q13" s="11">
        <v>0.83</v>
      </c>
      <c r="R13" s="11">
        <f>SUM(M13:Q13)</f>
        <v>66.210000000000008</v>
      </c>
      <c r="S13" s="11">
        <f>L13/R13</f>
        <v>1.616070080048331</v>
      </c>
      <c r="T13" s="11">
        <f>(L13-G13-K13)/R13</f>
        <v>0.77027639329406428</v>
      </c>
      <c r="U13" s="12">
        <f>(S13+T13)/2</f>
        <v>1.1931732366711976</v>
      </c>
      <c r="V13" s="17">
        <v>191.85</v>
      </c>
      <c r="W13" s="12">
        <f>V13-R13</f>
        <v>125.63999999999999</v>
      </c>
      <c r="X13" s="15">
        <v>15.53</v>
      </c>
      <c r="Y13" s="15">
        <v>0.1</v>
      </c>
      <c r="Z13" s="12">
        <f>X13+Y13</f>
        <v>15.629999999999999</v>
      </c>
      <c r="AA13" s="12">
        <f t="shared" si="0"/>
        <v>12.440305635148043</v>
      </c>
      <c r="AB13" s="13">
        <v>0.45657521286660357</v>
      </c>
      <c r="AC13" s="12">
        <f>U13*AB13</f>
        <v>0.54477332451988636</v>
      </c>
    </row>
    <row r="14" spans="1:29" ht="43.2">
      <c r="A14" s="1">
        <v>2</v>
      </c>
      <c r="B14" s="14" t="s">
        <v>31</v>
      </c>
      <c r="C14" s="14" t="s">
        <v>33</v>
      </c>
      <c r="D14" s="8">
        <v>45352</v>
      </c>
      <c r="E14" s="15">
        <v>87.71</v>
      </c>
      <c r="F14" s="10">
        <f t="shared" ref="F14:F16" si="10">100*(E14-E15)/E15</f>
        <v>6.6901836759518316</v>
      </c>
      <c r="G14" s="15">
        <v>45</v>
      </c>
      <c r="H14" s="16">
        <v>38</v>
      </c>
      <c r="I14" s="15">
        <v>1</v>
      </c>
      <c r="J14" s="11">
        <v>3</v>
      </c>
      <c r="K14" s="11">
        <v>7</v>
      </c>
      <c r="L14" s="11">
        <f t="shared" ref="L14:L32" si="11">SUM(G14:K14)</f>
        <v>94</v>
      </c>
      <c r="M14" s="17">
        <v>20.8</v>
      </c>
      <c r="N14" s="11">
        <v>0</v>
      </c>
      <c r="O14" s="17">
        <v>25.05</v>
      </c>
      <c r="P14" s="15">
        <v>22.23</v>
      </c>
      <c r="Q14" s="11">
        <v>0</v>
      </c>
      <c r="R14" s="11">
        <f t="shared" ref="R14:R32" si="12">SUM(M14:Q14)</f>
        <v>68.08</v>
      </c>
      <c r="S14" s="11">
        <f t="shared" ref="S14:S27" si="13">L14/R14</f>
        <v>1.3807285546415982</v>
      </c>
      <c r="T14" s="11">
        <f t="shared" ref="T14:T32" si="14">(L14-G14-K14)/R14</f>
        <v>0.61692126909518219</v>
      </c>
      <c r="U14" s="12">
        <f t="shared" ref="U14:U32" si="15">(S14+T14)/2</f>
        <v>0.99882491186839018</v>
      </c>
      <c r="V14" s="17">
        <v>180.24</v>
      </c>
      <c r="W14" s="12">
        <f t="shared" ref="W14:W32" si="16">V14-R14</f>
        <v>112.16000000000001</v>
      </c>
      <c r="X14" s="15">
        <v>14.83</v>
      </c>
      <c r="Y14" s="15">
        <v>0.12</v>
      </c>
      <c r="Z14" s="12">
        <f t="shared" ref="Z14:Z32" si="17">X14+Y14</f>
        <v>14.95</v>
      </c>
      <c r="AA14" s="12">
        <f t="shared" ref="AA14:AA32" si="18">(Z14/W14)*100</f>
        <v>13.329172610556347</v>
      </c>
      <c r="AB14" s="13">
        <v>0.333300198807157</v>
      </c>
      <c r="AC14" s="12">
        <f t="shared" ref="AC14:AC22" si="19">U14*AB14</f>
        <v>0.33290854169927553</v>
      </c>
    </row>
    <row r="15" spans="1:29" ht="43.2">
      <c r="A15" s="1">
        <v>2</v>
      </c>
      <c r="B15" s="14" t="s">
        <v>31</v>
      </c>
      <c r="C15" s="14" t="s">
        <v>34</v>
      </c>
      <c r="D15" s="8">
        <v>44986</v>
      </c>
      <c r="E15" s="15">
        <v>82.21</v>
      </c>
      <c r="F15" s="10">
        <f t="shared" si="10"/>
        <v>37.268325262982117</v>
      </c>
      <c r="G15" s="15">
        <v>36</v>
      </c>
      <c r="H15" s="16">
        <v>34</v>
      </c>
      <c r="I15" s="15">
        <v>1</v>
      </c>
      <c r="J15" s="11">
        <v>2</v>
      </c>
      <c r="K15" s="11">
        <v>7</v>
      </c>
      <c r="L15" s="11">
        <f t="shared" si="11"/>
        <v>80</v>
      </c>
      <c r="M15" s="17">
        <v>20.27</v>
      </c>
      <c r="N15" s="11">
        <v>0</v>
      </c>
      <c r="O15" s="17">
        <v>24.14</v>
      </c>
      <c r="P15" s="15">
        <v>15.97</v>
      </c>
      <c r="Q15" s="11">
        <v>0</v>
      </c>
      <c r="R15" s="11">
        <f t="shared" si="12"/>
        <v>60.379999999999995</v>
      </c>
      <c r="S15" s="11">
        <f t="shared" si="13"/>
        <v>1.324942033786022</v>
      </c>
      <c r="T15" s="11">
        <f t="shared" si="14"/>
        <v>0.61278569062603516</v>
      </c>
      <c r="U15" s="12">
        <f t="shared" si="15"/>
        <v>0.9688638622060286</v>
      </c>
      <c r="V15" s="17">
        <v>172.11</v>
      </c>
      <c r="W15" s="12">
        <f t="shared" si="16"/>
        <v>111.73000000000002</v>
      </c>
      <c r="X15" s="15">
        <v>12.4</v>
      </c>
      <c r="Y15" s="15">
        <v>0.09</v>
      </c>
      <c r="Z15" s="12">
        <f t="shared" si="17"/>
        <v>12.49</v>
      </c>
      <c r="AA15" s="12">
        <f t="shared" si="18"/>
        <v>11.178734449118409</v>
      </c>
      <c r="AB15" s="13">
        <v>0.28122805257349259</v>
      </c>
      <c r="AC15" s="12">
        <f t="shared" si="19"/>
        <v>0.27247169717703412</v>
      </c>
    </row>
    <row r="16" spans="1:29" ht="43.2">
      <c r="A16" s="1">
        <v>2</v>
      </c>
      <c r="B16" s="14" t="s">
        <v>31</v>
      </c>
      <c r="C16" s="14" t="s">
        <v>35</v>
      </c>
      <c r="D16" s="8">
        <v>44621</v>
      </c>
      <c r="E16" s="15">
        <v>59.89</v>
      </c>
      <c r="F16" s="10">
        <f t="shared" si="10"/>
        <v>26.885593220338976</v>
      </c>
      <c r="G16" s="15">
        <v>27</v>
      </c>
      <c r="H16" s="16">
        <v>29</v>
      </c>
      <c r="I16" s="15">
        <v>1</v>
      </c>
      <c r="J16" s="11">
        <v>1</v>
      </c>
      <c r="K16" s="11">
        <v>7</v>
      </c>
      <c r="L16" s="11">
        <f t="shared" si="11"/>
        <v>65</v>
      </c>
      <c r="M16" s="17">
        <v>13.03</v>
      </c>
      <c r="N16" s="11">
        <v>0</v>
      </c>
      <c r="O16" s="17">
        <v>17.66</v>
      </c>
      <c r="P16" s="15">
        <v>18.21</v>
      </c>
      <c r="Q16" s="11">
        <v>0</v>
      </c>
      <c r="R16" s="11">
        <f t="shared" si="12"/>
        <v>48.9</v>
      </c>
      <c r="S16" s="11">
        <f t="shared" si="13"/>
        <v>1.3292433537832311</v>
      </c>
      <c r="T16" s="11">
        <f t="shared" si="14"/>
        <v>0.63394683026584864</v>
      </c>
      <c r="U16" s="12">
        <f t="shared" si="15"/>
        <v>0.98159509202453987</v>
      </c>
      <c r="V16" s="17">
        <v>154.78</v>
      </c>
      <c r="W16" s="12">
        <f t="shared" si="16"/>
        <v>105.88</v>
      </c>
      <c r="X16" s="15">
        <v>6.05</v>
      </c>
      <c r="Y16" s="15">
        <v>0.05</v>
      </c>
      <c r="Z16" s="12">
        <f t="shared" si="17"/>
        <v>6.1</v>
      </c>
      <c r="AA16" s="12">
        <f t="shared" si="18"/>
        <v>5.7612391386475252</v>
      </c>
      <c r="AB16" s="13">
        <v>0.24511865425052567</v>
      </c>
      <c r="AC16" s="12">
        <f t="shared" si="19"/>
        <v>0.24060726797597612</v>
      </c>
    </row>
    <row r="17" spans="1:29" ht="43.2">
      <c r="A17" s="1">
        <v>2</v>
      </c>
      <c r="B17" s="14" t="s">
        <v>31</v>
      </c>
      <c r="C17" s="14" t="s">
        <v>36</v>
      </c>
      <c r="D17" s="8">
        <v>44256</v>
      </c>
      <c r="E17" s="15">
        <v>47.2</v>
      </c>
      <c r="F17" s="10">
        <v>-11.808669656203287</v>
      </c>
      <c r="G17" s="15">
        <v>19</v>
      </c>
      <c r="H17" s="16">
        <v>25</v>
      </c>
      <c r="I17" s="15">
        <v>8</v>
      </c>
      <c r="J17" s="11">
        <v>2</v>
      </c>
      <c r="K17" s="11">
        <v>7</v>
      </c>
      <c r="L17" s="11">
        <f t="shared" si="11"/>
        <v>61</v>
      </c>
      <c r="M17" s="17">
        <v>10.33</v>
      </c>
      <c r="N17" s="11">
        <v>0</v>
      </c>
      <c r="O17" s="17">
        <v>16.25</v>
      </c>
      <c r="P17" s="15">
        <v>14.25</v>
      </c>
      <c r="Q17" s="11">
        <v>0</v>
      </c>
      <c r="R17" s="11">
        <f t="shared" si="12"/>
        <v>40.83</v>
      </c>
      <c r="S17" s="11">
        <f t="shared" si="13"/>
        <v>1.493999510164095</v>
      </c>
      <c r="T17" s="11">
        <f t="shared" si="14"/>
        <v>0.85721283370071033</v>
      </c>
      <c r="U17" s="12">
        <f t="shared" si="15"/>
        <v>1.1756061719324027</v>
      </c>
      <c r="V17" s="17">
        <v>151.87</v>
      </c>
      <c r="W17" s="12">
        <f t="shared" si="16"/>
        <v>111.04</v>
      </c>
      <c r="X17" s="15">
        <v>3.99</v>
      </c>
      <c r="Y17" s="15">
        <v>0.49</v>
      </c>
      <c r="Z17" s="12">
        <f t="shared" si="17"/>
        <v>4.4800000000000004</v>
      </c>
      <c r="AA17" s="12">
        <f t="shared" si="18"/>
        <v>4.0345821325648412</v>
      </c>
      <c r="AB17" s="13">
        <v>0.21663151551672188</v>
      </c>
      <c r="AC17" s="12">
        <f t="shared" si="19"/>
        <v>0.2546733466765283</v>
      </c>
    </row>
    <row r="18" spans="1:29" ht="43.2">
      <c r="A18" s="1">
        <v>3</v>
      </c>
      <c r="B18" s="18" t="s">
        <v>37</v>
      </c>
      <c r="C18" s="19" t="s">
        <v>38</v>
      </c>
      <c r="D18" s="8">
        <v>45717</v>
      </c>
      <c r="E18" s="15">
        <v>298</v>
      </c>
      <c r="F18" s="10">
        <f>100*(E18-E19)/E19</f>
        <v>5.3003533568904597</v>
      </c>
      <c r="G18" s="15">
        <v>85</v>
      </c>
      <c r="H18" s="15">
        <v>53</v>
      </c>
      <c r="I18" s="13">
        <v>1</v>
      </c>
      <c r="J18" s="13">
        <v>3</v>
      </c>
      <c r="K18" s="13">
        <v>15</v>
      </c>
      <c r="L18" s="13">
        <f t="shared" si="11"/>
        <v>157</v>
      </c>
      <c r="M18" s="20">
        <v>20.399999999999999</v>
      </c>
      <c r="N18" s="20">
        <v>0.06</v>
      </c>
      <c r="O18" s="20">
        <v>6.41</v>
      </c>
      <c r="P18" s="13">
        <v>22</v>
      </c>
      <c r="Q18" s="11">
        <v>0</v>
      </c>
      <c r="R18" s="13">
        <f t="shared" si="12"/>
        <v>48.87</v>
      </c>
      <c r="S18" s="11">
        <f t="shared" si="13"/>
        <v>3.212604870063434</v>
      </c>
      <c r="T18" s="13">
        <f t="shared" si="14"/>
        <v>1.1663597298956416</v>
      </c>
      <c r="U18" s="13">
        <f t="shared" si="15"/>
        <v>2.189482299979538</v>
      </c>
      <c r="V18" s="13">
        <v>249</v>
      </c>
      <c r="W18" s="11">
        <f t="shared" si="16"/>
        <v>200.13</v>
      </c>
      <c r="X18" s="13">
        <v>31</v>
      </c>
      <c r="Y18" s="11">
        <v>0.77</v>
      </c>
      <c r="Z18" s="13">
        <f t="shared" si="17"/>
        <v>31.77</v>
      </c>
      <c r="AA18" s="13">
        <f t="shared" si="18"/>
        <v>15.874681457052917</v>
      </c>
      <c r="AB18" s="13">
        <v>0.15025906735751296</v>
      </c>
      <c r="AC18" s="12">
        <f t="shared" si="19"/>
        <v>0.32898956839070781</v>
      </c>
    </row>
    <row r="19" spans="1:29" ht="43.2">
      <c r="A19" s="1">
        <v>3</v>
      </c>
      <c r="B19" s="18" t="s">
        <v>37</v>
      </c>
      <c r="C19" s="19" t="s">
        <v>38</v>
      </c>
      <c r="D19" s="8">
        <v>45352</v>
      </c>
      <c r="E19" s="15">
        <v>283</v>
      </c>
      <c r="F19" s="10">
        <f t="shared" ref="F19:F21" si="20">100*(E19-E20)/E20</f>
        <v>7.6045627376425857</v>
      </c>
      <c r="G19" s="15">
        <v>71</v>
      </c>
      <c r="H19" s="15">
        <v>53</v>
      </c>
      <c r="I19" s="13">
        <v>0</v>
      </c>
      <c r="J19" s="13">
        <v>1</v>
      </c>
      <c r="K19" s="13">
        <v>17</v>
      </c>
      <c r="L19" s="13">
        <f t="shared" si="11"/>
        <v>142</v>
      </c>
      <c r="M19" s="20">
        <v>34.74</v>
      </c>
      <c r="N19" s="20">
        <v>0.21</v>
      </c>
      <c r="O19" s="20">
        <v>8.0500000000000007</v>
      </c>
      <c r="P19" s="13">
        <v>96</v>
      </c>
      <c r="Q19" s="11">
        <v>0</v>
      </c>
      <c r="R19" s="13">
        <f t="shared" si="12"/>
        <v>139</v>
      </c>
      <c r="S19" s="11">
        <f t="shared" si="13"/>
        <v>1.0215827338129497</v>
      </c>
      <c r="T19" s="13">
        <f t="shared" si="14"/>
        <v>0.38848920863309355</v>
      </c>
      <c r="U19" s="13">
        <f t="shared" si="15"/>
        <v>0.70503597122302164</v>
      </c>
      <c r="V19" s="13">
        <v>219</v>
      </c>
      <c r="W19" s="11">
        <f t="shared" si="16"/>
        <v>80</v>
      </c>
      <c r="X19" s="13">
        <v>29</v>
      </c>
      <c r="Y19" s="11">
        <v>0.3</v>
      </c>
      <c r="Z19" s="13">
        <f t="shared" si="17"/>
        <v>29.3</v>
      </c>
      <c r="AA19" s="13">
        <f t="shared" si="18"/>
        <v>36.625</v>
      </c>
      <c r="AB19" s="13">
        <v>1.6923076923076923</v>
      </c>
      <c r="AC19" s="12">
        <f t="shared" si="19"/>
        <v>1.1931377974543442</v>
      </c>
    </row>
    <row r="20" spans="1:29" ht="43.2">
      <c r="A20" s="1">
        <v>3</v>
      </c>
      <c r="B20" s="18" t="s">
        <v>37</v>
      </c>
      <c r="C20" s="19" t="s">
        <v>38</v>
      </c>
      <c r="D20" s="8">
        <v>44986</v>
      </c>
      <c r="E20" s="15">
        <v>263</v>
      </c>
      <c r="F20" s="10">
        <f t="shared" si="20"/>
        <v>5.2</v>
      </c>
      <c r="G20" s="15">
        <v>67</v>
      </c>
      <c r="H20" s="15">
        <v>44</v>
      </c>
      <c r="I20" s="13">
        <v>0</v>
      </c>
      <c r="J20" s="13">
        <v>3</v>
      </c>
      <c r="K20" s="10">
        <v>14</v>
      </c>
      <c r="L20" s="13">
        <f t="shared" si="11"/>
        <v>128</v>
      </c>
      <c r="M20" s="20">
        <v>43.57</v>
      </c>
      <c r="N20" s="20">
        <v>0</v>
      </c>
      <c r="O20" s="20">
        <v>7.78</v>
      </c>
      <c r="P20" s="13">
        <v>66</v>
      </c>
      <c r="Q20" s="11">
        <v>0</v>
      </c>
      <c r="R20" s="13">
        <f t="shared" si="12"/>
        <v>117.35</v>
      </c>
      <c r="S20" s="11">
        <f t="shared" si="13"/>
        <v>1.0907541542394548</v>
      </c>
      <c r="T20" s="13">
        <f t="shared" si="14"/>
        <v>0.40051129100979976</v>
      </c>
      <c r="U20" s="13">
        <f t="shared" si="15"/>
        <v>0.74563272262462732</v>
      </c>
      <c r="V20" s="13">
        <v>197</v>
      </c>
      <c r="W20" s="11">
        <f t="shared" si="16"/>
        <v>79.650000000000006</v>
      </c>
      <c r="X20" s="13">
        <v>24</v>
      </c>
      <c r="Y20" s="11">
        <v>0.32</v>
      </c>
      <c r="Z20" s="13">
        <f t="shared" si="17"/>
        <v>24.32</v>
      </c>
      <c r="AA20" s="13">
        <f t="shared" si="18"/>
        <v>30.533584431889516</v>
      </c>
      <c r="AB20" s="13">
        <v>1.5614035087719298</v>
      </c>
      <c r="AC20" s="12">
        <f t="shared" si="19"/>
        <v>1.1642335493612601</v>
      </c>
    </row>
    <row r="21" spans="1:29" ht="43.2">
      <c r="A21" s="1">
        <v>3</v>
      </c>
      <c r="B21" s="18" t="s">
        <v>37</v>
      </c>
      <c r="C21" s="19" t="s">
        <v>38</v>
      </c>
      <c r="D21" s="8">
        <v>44621</v>
      </c>
      <c r="E21" s="15">
        <v>250</v>
      </c>
      <c r="F21" s="10">
        <f t="shared" si="20"/>
        <v>46.198830409356724</v>
      </c>
      <c r="G21" s="15">
        <v>57</v>
      </c>
      <c r="H21" s="15">
        <v>41</v>
      </c>
      <c r="I21" s="13">
        <v>0</v>
      </c>
      <c r="J21" s="13">
        <v>2</v>
      </c>
      <c r="K21" s="13">
        <v>9</v>
      </c>
      <c r="L21" s="13">
        <f t="shared" si="11"/>
        <v>109</v>
      </c>
      <c r="M21" s="20">
        <v>36.53</v>
      </c>
      <c r="N21" s="20">
        <v>0.2</v>
      </c>
      <c r="O21" s="20">
        <v>5.15</v>
      </c>
      <c r="P21" s="13">
        <v>58</v>
      </c>
      <c r="Q21" s="11">
        <v>1</v>
      </c>
      <c r="R21" s="13">
        <f t="shared" si="12"/>
        <v>100.88</v>
      </c>
      <c r="S21" s="11">
        <f t="shared" si="13"/>
        <v>1.0804916732751786</v>
      </c>
      <c r="T21" s="13">
        <f t="shared" si="14"/>
        <v>0.42624900872323557</v>
      </c>
      <c r="U21" s="13">
        <f t="shared" si="15"/>
        <v>0.75337034099920708</v>
      </c>
      <c r="V21" s="13">
        <v>168</v>
      </c>
      <c r="W21" s="11">
        <f t="shared" si="16"/>
        <v>67.12</v>
      </c>
      <c r="X21" s="13">
        <v>21</v>
      </c>
      <c r="Y21" s="11">
        <v>0.31</v>
      </c>
      <c r="Z21" s="13">
        <f t="shared" si="17"/>
        <v>21.31</v>
      </c>
      <c r="AA21" s="13">
        <f t="shared" si="18"/>
        <v>31.749106078665072</v>
      </c>
      <c r="AB21" s="13">
        <v>1.4901960784313726</v>
      </c>
      <c r="AC21" s="12">
        <f t="shared" si="19"/>
        <v>1.1226695277635244</v>
      </c>
    </row>
    <row r="22" spans="1:29" ht="43.2">
      <c r="A22" s="1">
        <v>3</v>
      </c>
      <c r="B22" s="18" t="s">
        <v>37</v>
      </c>
      <c r="C22" s="19" t="s">
        <v>38</v>
      </c>
      <c r="D22" s="8">
        <v>44256</v>
      </c>
      <c r="E22" s="15">
        <v>171</v>
      </c>
      <c r="F22" s="13">
        <v>25.735294117647058</v>
      </c>
      <c r="G22" s="15">
        <v>29</v>
      </c>
      <c r="H22" s="15">
        <v>28</v>
      </c>
      <c r="I22" s="13">
        <v>0</v>
      </c>
      <c r="J22" s="13">
        <v>7</v>
      </c>
      <c r="K22" s="13">
        <v>4</v>
      </c>
      <c r="L22" s="13">
        <f t="shared" si="11"/>
        <v>68</v>
      </c>
      <c r="M22" s="20">
        <v>29.55</v>
      </c>
      <c r="N22" s="20">
        <v>0.1</v>
      </c>
      <c r="O22" s="20">
        <v>4.6500000000000004</v>
      </c>
      <c r="P22" s="13">
        <v>27</v>
      </c>
      <c r="Q22" s="11">
        <v>0</v>
      </c>
      <c r="R22" s="13">
        <f t="shared" si="12"/>
        <v>61.300000000000004</v>
      </c>
      <c r="S22" s="11">
        <f t="shared" si="13"/>
        <v>1.1092985318107667</v>
      </c>
      <c r="T22" s="13">
        <f t="shared" si="14"/>
        <v>0.57096247960848279</v>
      </c>
      <c r="U22" s="13">
        <f t="shared" si="15"/>
        <v>0.84013050570962466</v>
      </c>
      <c r="V22" s="13">
        <v>125</v>
      </c>
      <c r="W22" s="11">
        <f t="shared" si="16"/>
        <v>63.699999999999996</v>
      </c>
      <c r="X22" s="13">
        <v>15</v>
      </c>
      <c r="Y22" s="11">
        <v>0.15</v>
      </c>
      <c r="Z22" s="13">
        <f t="shared" si="17"/>
        <v>15.15</v>
      </c>
      <c r="AA22" s="13">
        <f t="shared" si="18"/>
        <v>23.783359497645215</v>
      </c>
      <c r="AB22" s="13">
        <v>0.97826086956521741</v>
      </c>
      <c r="AC22" s="12">
        <f t="shared" si="19"/>
        <v>0.82186679906376325</v>
      </c>
    </row>
    <row r="23" spans="1:29" ht="43.2">
      <c r="A23" s="1">
        <v>4</v>
      </c>
      <c r="B23" s="21" t="s">
        <v>39</v>
      </c>
      <c r="C23" s="19">
        <v>505712</v>
      </c>
      <c r="D23" s="8">
        <v>45717</v>
      </c>
      <c r="E23" s="22">
        <v>402</v>
      </c>
      <c r="F23" s="10">
        <f>100*(E23-E24)/E24</f>
        <v>7.7747989276139409</v>
      </c>
      <c r="G23" s="23">
        <v>167</v>
      </c>
      <c r="H23" s="23">
        <v>77</v>
      </c>
      <c r="I23" s="23">
        <v>2</v>
      </c>
      <c r="J23" s="23">
        <v>3</v>
      </c>
      <c r="K23" s="23">
        <v>16</v>
      </c>
      <c r="L23" s="23">
        <f t="shared" si="11"/>
        <v>265</v>
      </c>
      <c r="M23" s="23">
        <v>57</v>
      </c>
      <c r="N23" s="23">
        <v>0</v>
      </c>
      <c r="O23" s="23">
        <v>25</v>
      </c>
      <c r="P23" s="23">
        <v>115</v>
      </c>
      <c r="Q23" s="5">
        <v>0</v>
      </c>
      <c r="R23" s="23">
        <f t="shared" si="12"/>
        <v>197</v>
      </c>
      <c r="S23" s="11">
        <f t="shared" si="13"/>
        <v>1.3451776649746192</v>
      </c>
      <c r="T23" s="13">
        <f t="shared" si="14"/>
        <v>0.41624365482233505</v>
      </c>
      <c r="U23" s="13">
        <f t="shared" si="15"/>
        <v>0.88071065989847708</v>
      </c>
      <c r="V23" s="23">
        <v>453</v>
      </c>
      <c r="W23" s="5">
        <f t="shared" si="16"/>
        <v>256</v>
      </c>
      <c r="X23" s="23">
        <v>39</v>
      </c>
      <c r="Y23" s="5">
        <v>3.89</v>
      </c>
      <c r="Z23" s="23">
        <f t="shared" si="17"/>
        <v>42.89</v>
      </c>
      <c r="AA23" s="13">
        <f t="shared" si="18"/>
        <v>16.75390625</v>
      </c>
      <c r="AB23" s="13">
        <v>0.6863636363636364</v>
      </c>
      <c r="AC23" s="13">
        <f>U23*AB23</f>
        <v>0.60448777111213658</v>
      </c>
    </row>
    <row r="24" spans="1:29" ht="43.2">
      <c r="A24" s="1">
        <v>4</v>
      </c>
      <c r="B24" s="21" t="s">
        <v>39</v>
      </c>
      <c r="C24" s="19">
        <v>505712</v>
      </c>
      <c r="D24" s="8">
        <v>45352</v>
      </c>
      <c r="E24" s="22">
        <v>373</v>
      </c>
      <c r="F24" s="10">
        <f t="shared" ref="F24:F26" si="21">100*(E24-E25)/E25</f>
        <v>-7.9012345679012341</v>
      </c>
      <c r="G24" s="23">
        <v>162</v>
      </c>
      <c r="H24" s="23">
        <v>53</v>
      </c>
      <c r="I24" s="23">
        <v>2</v>
      </c>
      <c r="J24" s="23">
        <v>3</v>
      </c>
      <c r="K24" s="23">
        <v>15</v>
      </c>
      <c r="L24" s="23">
        <f t="shared" si="11"/>
        <v>235</v>
      </c>
      <c r="M24" s="23">
        <v>52</v>
      </c>
      <c r="N24" s="23">
        <v>1</v>
      </c>
      <c r="O24" s="23">
        <v>30</v>
      </c>
      <c r="P24" s="23">
        <v>99</v>
      </c>
      <c r="Q24" s="5">
        <v>0</v>
      </c>
      <c r="R24" s="23">
        <f t="shared" si="12"/>
        <v>182</v>
      </c>
      <c r="S24" s="11">
        <f t="shared" si="13"/>
        <v>1.2912087912087913</v>
      </c>
      <c r="T24" s="13">
        <f t="shared" si="14"/>
        <v>0.31868131868131866</v>
      </c>
      <c r="U24" s="13">
        <f t="shared" si="15"/>
        <v>0.80494505494505497</v>
      </c>
      <c r="V24" s="23">
        <v>414</v>
      </c>
      <c r="W24" s="5">
        <f t="shared" si="16"/>
        <v>232</v>
      </c>
      <c r="X24" s="23">
        <v>35</v>
      </c>
      <c r="Y24" s="5">
        <v>2.48</v>
      </c>
      <c r="Z24" s="23">
        <f t="shared" si="17"/>
        <v>37.479999999999997</v>
      </c>
      <c r="AA24" s="13">
        <f t="shared" si="18"/>
        <v>16.1551724137931</v>
      </c>
      <c r="AB24" s="13">
        <v>0.82777777777777772</v>
      </c>
      <c r="AC24" s="13">
        <f t="shared" ref="AC24:AC27" si="22">U24*AB24</f>
        <v>0.66631562881562878</v>
      </c>
    </row>
    <row r="25" spans="1:29" ht="43.2">
      <c r="A25" s="1">
        <v>4</v>
      </c>
      <c r="B25" s="21" t="s">
        <v>39</v>
      </c>
      <c r="C25" s="19">
        <v>505712</v>
      </c>
      <c r="D25" s="8">
        <v>44986</v>
      </c>
      <c r="E25" s="22">
        <v>405</v>
      </c>
      <c r="F25" s="10">
        <f t="shared" si="21"/>
        <v>15.384615384615385</v>
      </c>
      <c r="G25" s="23">
        <v>153</v>
      </c>
      <c r="H25" s="23">
        <v>54</v>
      </c>
      <c r="I25" s="23">
        <v>2</v>
      </c>
      <c r="J25" s="23">
        <v>2</v>
      </c>
      <c r="K25" s="23">
        <v>17</v>
      </c>
      <c r="L25" s="23">
        <f t="shared" si="11"/>
        <v>228</v>
      </c>
      <c r="M25" s="23">
        <v>39</v>
      </c>
      <c r="N25" s="23">
        <v>1</v>
      </c>
      <c r="O25" s="23">
        <v>19</v>
      </c>
      <c r="P25" s="23">
        <v>107</v>
      </c>
      <c r="Q25" s="5">
        <v>0</v>
      </c>
      <c r="R25" s="23">
        <f t="shared" si="12"/>
        <v>166</v>
      </c>
      <c r="S25" s="11">
        <f t="shared" si="13"/>
        <v>1.3734939759036144</v>
      </c>
      <c r="T25" s="13">
        <f t="shared" si="14"/>
        <v>0.3493975903614458</v>
      </c>
      <c r="U25" s="13">
        <f t="shared" si="15"/>
        <v>0.86144578313253017</v>
      </c>
      <c r="V25" s="23">
        <v>380</v>
      </c>
      <c r="W25" s="5">
        <f t="shared" si="16"/>
        <v>214</v>
      </c>
      <c r="X25" s="23">
        <v>38</v>
      </c>
      <c r="Y25" s="5">
        <v>6.08</v>
      </c>
      <c r="Z25" s="23">
        <f t="shared" si="17"/>
        <v>44.08</v>
      </c>
      <c r="AA25" s="13">
        <f t="shared" si="18"/>
        <v>20.598130841121495</v>
      </c>
      <c r="AB25" s="13">
        <v>0.84482758620689657</v>
      </c>
      <c r="AC25" s="13">
        <f t="shared" si="22"/>
        <v>0.72777316161196515</v>
      </c>
    </row>
    <row r="26" spans="1:29" ht="43.2">
      <c r="A26" s="1">
        <v>4</v>
      </c>
      <c r="B26" s="21" t="s">
        <v>39</v>
      </c>
      <c r="C26" s="19">
        <v>505712</v>
      </c>
      <c r="D26" s="8">
        <v>44621</v>
      </c>
      <c r="E26" s="22">
        <v>351</v>
      </c>
      <c r="F26" s="10">
        <f t="shared" si="21"/>
        <v>46.861924686192467</v>
      </c>
      <c r="G26" s="23">
        <v>147</v>
      </c>
      <c r="H26" s="23">
        <v>60</v>
      </c>
      <c r="I26" s="23">
        <v>2</v>
      </c>
      <c r="J26" s="23">
        <v>2</v>
      </c>
      <c r="K26" s="23">
        <v>8</v>
      </c>
      <c r="L26" s="23">
        <f t="shared" si="11"/>
        <v>219</v>
      </c>
      <c r="M26" s="23">
        <v>42</v>
      </c>
      <c r="N26" s="23">
        <v>0</v>
      </c>
      <c r="O26" s="23">
        <v>16</v>
      </c>
      <c r="P26" s="23">
        <v>107</v>
      </c>
      <c r="Q26" s="5">
        <v>0</v>
      </c>
      <c r="R26" s="23">
        <f t="shared" si="12"/>
        <v>165</v>
      </c>
      <c r="S26" s="11">
        <f t="shared" si="13"/>
        <v>1.3272727272727274</v>
      </c>
      <c r="T26" s="13">
        <f t="shared" si="14"/>
        <v>0.38787878787878788</v>
      </c>
      <c r="U26" s="13">
        <f t="shared" si="15"/>
        <v>0.85757575757575766</v>
      </c>
      <c r="V26" s="23">
        <v>372</v>
      </c>
      <c r="W26" s="5">
        <f t="shared" si="16"/>
        <v>207</v>
      </c>
      <c r="X26" s="23">
        <v>34</v>
      </c>
      <c r="Y26" s="5">
        <v>5.89</v>
      </c>
      <c r="Z26" s="23">
        <f t="shared" si="17"/>
        <v>39.89</v>
      </c>
      <c r="AA26" s="13">
        <f t="shared" si="18"/>
        <v>19.270531400966185</v>
      </c>
      <c r="AB26" s="13">
        <v>0.92024539877300615</v>
      </c>
      <c r="AC26" s="13">
        <f t="shared" si="22"/>
        <v>0.78918014500836597</v>
      </c>
    </row>
    <row r="27" spans="1:29" ht="43.2">
      <c r="A27" s="1">
        <v>4</v>
      </c>
      <c r="B27" s="21" t="s">
        <v>39</v>
      </c>
      <c r="C27" s="19">
        <v>505712</v>
      </c>
      <c r="D27" s="8">
        <v>44256</v>
      </c>
      <c r="E27" s="22">
        <v>239</v>
      </c>
      <c r="F27" s="13">
        <v>7.6576576576576576</v>
      </c>
      <c r="G27" s="23">
        <v>139</v>
      </c>
      <c r="H27" s="23">
        <v>45</v>
      </c>
      <c r="I27" s="23">
        <v>2</v>
      </c>
      <c r="J27" s="23">
        <v>2</v>
      </c>
      <c r="K27" s="23">
        <v>8</v>
      </c>
      <c r="L27" s="23">
        <f t="shared" si="11"/>
        <v>196</v>
      </c>
      <c r="M27" s="23">
        <v>31</v>
      </c>
      <c r="N27" s="23">
        <v>0</v>
      </c>
      <c r="O27" s="23">
        <v>14</v>
      </c>
      <c r="P27" s="23">
        <v>106</v>
      </c>
      <c r="Q27" s="5">
        <v>0</v>
      </c>
      <c r="R27" s="23">
        <f t="shared" si="12"/>
        <v>151</v>
      </c>
      <c r="S27" s="11">
        <f t="shared" si="13"/>
        <v>1.2980132450331126</v>
      </c>
      <c r="T27" s="13">
        <f t="shared" si="14"/>
        <v>0.32450331125827814</v>
      </c>
      <c r="U27" s="13">
        <f t="shared" si="15"/>
        <v>0.8112582781456954</v>
      </c>
      <c r="V27" s="23">
        <v>351</v>
      </c>
      <c r="W27" s="5">
        <f t="shared" si="16"/>
        <v>200</v>
      </c>
      <c r="X27" s="23">
        <v>31</v>
      </c>
      <c r="Y27" s="5">
        <v>2.48</v>
      </c>
      <c r="Z27" s="23">
        <f t="shared" si="17"/>
        <v>33.479999999999997</v>
      </c>
      <c r="AA27" s="23">
        <f t="shared" si="18"/>
        <v>16.739999999999998</v>
      </c>
      <c r="AB27" s="13">
        <v>0.97419354838709682</v>
      </c>
      <c r="AC27" s="13">
        <f t="shared" si="22"/>
        <v>0.79032258064516137</v>
      </c>
    </row>
    <row r="28" spans="1:29" ht="57.6">
      <c r="A28" s="1">
        <v>5</v>
      </c>
      <c r="B28" s="21" t="s">
        <v>40</v>
      </c>
      <c r="C28" s="14">
        <v>539314</v>
      </c>
      <c r="D28" s="8">
        <v>45717</v>
      </c>
      <c r="E28" s="22">
        <v>193</v>
      </c>
      <c r="F28" s="10">
        <f>100*(E28-E29)/E29</f>
        <v>-4.4554455445544559</v>
      </c>
      <c r="G28" s="23">
        <v>23.53</v>
      </c>
      <c r="H28" s="22">
        <v>40.4</v>
      </c>
      <c r="I28" s="22">
        <v>0.23</v>
      </c>
      <c r="J28" s="22">
        <v>1.49</v>
      </c>
      <c r="K28" s="22">
        <v>5.32</v>
      </c>
      <c r="L28" s="23">
        <f t="shared" si="11"/>
        <v>70.97</v>
      </c>
      <c r="M28" s="20">
        <v>12.71</v>
      </c>
      <c r="N28" s="20">
        <v>1.87</v>
      </c>
      <c r="O28" s="20">
        <v>5.07</v>
      </c>
      <c r="P28" s="22">
        <v>30.54</v>
      </c>
      <c r="Q28" s="20">
        <v>0</v>
      </c>
      <c r="R28" s="23">
        <f t="shared" si="12"/>
        <v>50.19</v>
      </c>
      <c r="S28" s="11">
        <f>L28/R28</f>
        <v>1.414026698545527</v>
      </c>
      <c r="T28" s="13">
        <f t="shared" si="14"/>
        <v>0.83921099820681411</v>
      </c>
      <c r="U28" s="13">
        <f t="shared" si="15"/>
        <v>1.1266188483761705</v>
      </c>
      <c r="V28" s="23">
        <v>141</v>
      </c>
      <c r="W28" s="5">
        <f t="shared" si="16"/>
        <v>90.81</v>
      </c>
      <c r="X28" s="23">
        <v>16</v>
      </c>
      <c r="Y28" s="5">
        <v>0.53</v>
      </c>
      <c r="Z28" s="23">
        <f t="shared" si="17"/>
        <v>16.53</v>
      </c>
      <c r="AA28" s="13">
        <f t="shared" si="18"/>
        <v>18.20284109679551</v>
      </c>
      <c r="AB28" s="13">
        <v>0.61426666666666663</v>
      </c>
      <c r="AC28" s="13">
        <f>U28*AB28</f>
        <v>0.69204440459586902</v>
      </c>
    </row>
    <row r="29" spans="1:29" ht="57.6">
      <c r="A29" s="1">
        <v>5</v>
      </c>
      <c r="B29" s="21" t="s">
        <v>40</v>
      </c>
      <c r="C29" s="14">
        <v>539315</v>
      </c>
      <c r="D29" s="8">
        <v>45352</v>
      </c>
      <c r="E29" s="22">
        <v>202</v>
      </c>
      <c r="F29" s="10">
        <f t="shared" ref="F29:F31" si="23">100*(E29-E30)/E30</f>
        <v>-14.40677966101695</v>
      </c>
      <c r="G29" s="23">
        <v>16.989999999999998</v>
      </c>
      <c r="H29" s="22">
        <v>37.43</v>
      </c>
      <c r="I29" s="22">
        <v>0.02</v>
      </c>
      <c r="J29" s="22">
        <v>2.0699999999999998</v>
      </c>
      <c r="K29" s="22">
        <v>5.37</v>
      </c>
      <c r="L29" s="23">
        <f t="shared" si="11"/>
        <v>61.88</v>
      </c>
      <c r="M29" s="20">
        <v>11.79</v>
      </c>
      <c r="N29" s="20">
        <v>1.79</v>
      </c>
      <c r="O29" s="20">
        <v>6.49</v>
      </c>
      <c r="P29" s="22">
        <v>16.43</v>
      </c>
      <c r="Q29" s="20">
        <v>0</v>
      </c>
      <c r="R29" s="23">
        <f t="shared" si="12"/>
        <v>36.5</v>
      </c>
      <c r="S29" s="11">
        <f t="shared" ref="S29:S32" si="24">L29/R29</f>
        <v>1.6953424657534246</v>
      </c>
      <c r="T29" s="13">
        <f t="shared" si="14"/>
        <v>1.0827397260273974</v>
      </c>
      <c r="U29" s="13">
        <f t="shared" si="15"/>
        <v>1.3890410958904109</v>
      </c>
      <c r="V29" s="23">
        <v>130</v>
      </c>
      <c r="W29" s="5">
        <f t="shared" si="16"/>
        <v>93.5</v>
      </c>
      <c r="X29" s="23">
        <v>15</v>
      </c>
      <c r="Y29" s="5">
        <v>0.69</v>
      </c>
      <c r="Z29" s="23">
        <f t="shared" si="17"/>
        <v>15.69</v>
      </c>
      <c r="AA29" s="13">
        <f t="shared" si="18"/>
        <v>16.780748663101605</v>
      </c>
      <c r="AB29" s="13">
        <v>0.50616438356164384</v>
      </c>
      <c r="AC29" s="13">
        <f t="shared" ref="AC29:AC32" si="25">U29*AB29</f>
        <v>0.70308313004316003</v>
      </c>
    </row>
    <row r="30" spans="1:29" ht="57.6">
      <c r="A30" s="1">
        <v>5</v>
      </c>
      <c r="B30" s="21" t="s">
        <v>40</v>
      </c>
      <c r="C30" s="14">
        <v>539316</v>
      </c>
      <c r="D30" s="8">
        <v>44986</v>
      </c>
      <c r="E30" s="22">
        <v>236</v>
      </c>
      <c r="F30" s="10">
        <f t="shared" si="23"/>
        <v>45.679012345679013</v>
      </c>
      <c r="G30" s="23">
        <v>20.29</v>
      </c>
      <c r="H30" s="22">
        <v>47.6</v>
      </c>
      <c r="I30" s="22">
        <v>25.7</v>
      </c>
      <c r="J30" s="22">
        <v>3.39</v>
      </c>
      <c r="K30" s="22">
        <v>6.04</v>
      </c>
      <c r="L30" s="23">
        <f t="shared" si="11"/>
        <v>103.02000000000001</v>
      </c>
      <c r="M30" s="20">
        <v>19.27</v>
      </c>
      <c r="N30" s="20">
        <v>0.23</v>
      </c>
      <c r="O30" s="20">
        <v>7.36</v>
      </c>
      <c r="P30" s="22">
        <v>38.15</v>
      </c>
      <c r="Q30" s="20">
        <v>0</v>
      </c>
      <c r="R30" s="23">
        <f t="shared" si="12"/>
        <v>65.009999999999991</v>
      </c>
      <c r="S30" s="11">
        <f t="shared" si="24"/>
        <v>1.5846792801107525</v>
      </c>
      <c r="T30" s="13">
        <f t="shared" si="14"/>
        <v>1.179664666974312</v>
      </c>
      <c r="U30" s="13">
        <f t="shared" si="15"/>
        <v>1.3821719735425324</v>
      </c>
      <c r="V30" s="23">
        <v>140</v>
      </c>
      <c r="W30" s="5">
        <f t="shared" si="16"/>
        <v>74.990000000000009</v>
      </c>
      <c r="X30" s="23">
        <v>25</v>
      </c>
      <c r="Y30" s="5">
        <v>0.94</v>
      </c>
      <c r="Z30" s="23">
        <f t="shared" si="17"/>
        <v>25.94</v>
      </c>
      <c r="AA30" s="13">
        <f t="shared" si="18"/>
        <v>34.591278837178287</v>
      </c>
      <c r="AB30" s="13">
        <v>0.94327586206896552</v>
      </c>
      <c r="AC30" s="13">
        <f t="shared" si="25"/>
        <v>1.3037694598708958</v>
      </c>
    </row>
    <row r="31" spans="1:29" ht="57.6">
      <c r="A31" s="1">
        <v>5</v>
      </c>
      <c r="B31" s="21" t="s">
        <v>40</v>
      </c>
      <c r="C31" s="14">
        <v>539317</v>
      </c>
      <c r="D31" s="8">
        <v>44621</v>
      </c>
      <c r="E31" s="22">
        <v>162</v>
      </c>
      <c r="F31" s="10">
        <f t="shared" si="23"/>
        <v>26.5625</v>
      </c>
      <c r="G31" s="23">
        <v>13.91</v>
      </c>
      <c r="H31" s="22">
        <v>29.86</v>
      </c>
      <c r="I31" s="22">
        <v>0.56000000000000005</v>
      </c>
      <c r="J31" s="22">
        <v>0.34</v>
      </c>
      <c r="K31" s="22">
        <v>3.05</v>
      </c>
      <c r="L31" s="23">
        <f t="shared" si="11"/>
        <v>47.72</v>
      </c>
      <c r="M31" s="20">
        <v>17.87</v>
      </c>
      <c r="N31" s="20">
        <v>0.28999999999999998</v>
      </c>
      <c r="O31" s="20">
        <v>2.4700000000000002</v>
      </c>
      <c r="P31" s="22">
        <v>27.67</v>
      </c>
      <c r="Q31" s="20">
        <v>0</v>
      </c>
      <c r="R31" s="23">
        <f t="shared" si="12"/>
        <v>48.3</v>
      </c>
      <c r="S31" s="11">
        <f t="shared" si="24"/>
        <v>0.98799171842650102</v>
      </c>
      <c r="T31" s="13">
        <f t="shared" si="14"/>
        <v>0.63685300207039341</v>
      </c>
      <c r="U31" s="13">
        <f t="shared" si="15"/>
        <v>0.81242236024844727</v>
      </c>
      <c r="V31" s="23">
        <v>89</v>
      </c>
      <c r="W31" s="5">
        <f t="shared" si="16"/>
        <v>40.700000000000003</v>
      </c>
      <c r="X31" s="23">
        <v>6</v>
      </c>
      <c r="Y31" s="5">
        <v>0.56999999999999995</v>
      </c>
      <c r="Z31" s="23">
        <f t="shared" si="17"/>
        <v>6.57</v>
      </c>
      <c r="AA31" s="13">
        <f t="shared" si="18"/>
        <v>16.142506142506143</v>
      </c>
      <c r="AB31" s="13">
        <v>2.0940909090909092</v>
      </c>
      <c r="AC31" s="13">
        <f t="shared" si="25"/>
        <v>1.7012862789384531</v>
      </c>
    </row>
    <row r="32" spans="1:29" ht="57.6">
      <c r="A32" s="1">
        <v>5</v>
      </c>
      <c r="B32" s="21" t="s">
        <v>40</v>
      </c>
      <c r="C32" s="14">
        <v>539314</v>
      </c>
      <c r="D32" s="8">
        <v>44256</v>
      </c>
      <c r="E32" s="22">
        <v>128</v>
      </c>
      <c r="F32" s="13">
        <v>45.454545454545453</v>
      </c>
      <c r="G32" s="23">
        <v>8.7100000000000009</v>
      </c>
      <c r="H32" s="22">
        <v>34.19</v>
      </c>
      <c r="I32" s="22">
        <v>0.25</v>
      </c>
      <c r="J32" s="22">
        <v>0.21</v>
      </c>
      <c r="K32" s="22">
        <v>1.93</v>
      </c>
      <c r="L32" s="23">
        <f t="shared" si="11"/>
        <v>45.29</v>
      </c>
      <c r="M32" s="20">
        <v>15.87</v>
      </c>
      <c r="N32" s="20">
        <v>1.32</v>
      </c>
      <c r="O32" s="20">
        <v>3.99</v>
      </c>
      <c r="P32" s="22">
        <v>24.27</v>
      </c>
      <c r="Q32" s="20">
        <v>0</v>
      </c>
      <c r="R32" s="23">
        <f t="shared" si="12"/>
        <v>45.45</v>
      </c>
      <c r="S32" s="11">
        <f t="shared" si="24"/>
        <v>0.99647964796479638</v>
      </c>
      <c r="T32" s="13">
        <f t="shared" si="14"/>
        <v>0.76237623762376228</v>
      </c>
      <c r="U32" s="13">
        <f t="shared" si="15"/>
        <v>0.87942794279427927</v>
      </c>
      <c r="V32" s="23">
        <v>87</v>
      </c>
      <c r="W32" s="5">
        <f t="shared" si="16"/>
        <v>41.55</v>
      </c>
      <c r="X32" s="23">
        <v>12</v>
      </c>
      <c r="Y32" s="5">
        <v>0.5</v>
      </c>
      <c r="Z32" s="23">
        <f t="shared" si="17"/>
        <v>12.5</v>
      </c>
      <c r="AA32" s="13">
        <f t="shared" si="18"/>
        <v>30.084235860409148</v>
      </c>
      <c r="AB32" s="13">
        <v>1.6472</v>
      </c>
      <c r="AC32" s="13">
        <f t="shared" si="25"/>
        <v>1.4485937073707369</v>
      </c>
    </row>
    <row r="33" spans="1:21" s="24" customFormat="1" ht="15" thickBot="1"/>
    <row r="34" spans="1:21">
      <c r="B34" s="25"/>
      <c r="C34" s="26"/>
    </row>
    <row r="36" spans="1:21">
      <c r="B36" s="35" t="s">
        <v>41</v>
      </c>
      <c r="C36" s="35"/>
      <c r="D36" s="35"/>
      <c r="E36" s="35"/>
      <c r="F36" s="35"/>
      <c r="G36" s="35"/>
      <c r="H36" s="35"/>
      <c r="I36" s="35"/>
    </row>
    <row r="38" spans="1:21" ht="43.2">
      <c r="A38" s="1" t="s">
        <v>1</v>
      </c>
      <c r="B38" s="27" t="s">
        <v>2</v>
      </c>
      <c r="C38" s="27" t="s">
        <v>42</v>
      </c>
      <c r="D38" s="28" t="s">
        <v>4</v>
      </c>
      <c r="E38" s="28" t="s">
        <v>43</v>
      </c>
      <c r="F38" s="28" t="s">
        <v>16</v>
      </c>
      <c r="G38" s="28" t="s">
        <v>17</v>
      </c>
      <c r="H38" s="28" t="s">
        <v>44</v>
      </c>
      <c r="I38" s="28" t="s">
        <v>45</v>
      </c>
      <c r="J38" s="28" t="s">
        <v>46</v>
      </c>
      <c r="K38" s="28" t="s">
        <v>47</v>
      </c>
      <c r="L38" s="28" t="s">
        <v>48</v>
      </c>
      <c r="M38" s="28" t="s">
        <v>28</v>
      </c>
    </row>
    <row r="39" spans="1:21" ht="28.8">
      <c r="A39" s="1">
        <v>1</v>
      </c>
      <c r="B39" s="29" t="s">
        <v>30</v>
      </c>
      <c r="C39" s="27">
        <v>542459</v>
      </c>
      <c r="D39" s="30">
        <v>45717</v>
      </c>
      <c r="E39" s="31">
        <v>22.28</v>
      </c>
      <c r="F39" s="31">
        <v>15.53</v>
      </c>
      <c r="G39" s="31">
        <v>1.26</v>
      </c>
      <c r="H39" s="31">
        <v>0</v>
      </c>
      <c r="I39" s="13">
        <f>E39+F39+G39+H39</f>
        <v>39.07</v>
      </c>
      <c r="J39" s="31">
        <v>12.51</v>
      </c>
      <c r="K39" s="31">
        <v>30.93</v>
      </c>
      <c r="L39" s="13">
        <f>J39+K39</f>
        <v>43.44</v>
      </c>
      <c r="M39" s="13">
        <f>I39/L39</f>
        <v>0.899401473296501</v>
      </c>
    </row>
    <row r="40" spans="1:21" ht="28.8">
      <c r="A40" s="1">
        <v>1</v>
      </c>
      <c r="B40" s="29" t="s">
        <v>30</v>
      </c>
      <c r="C40" s="27">
        <v>542459</v>
      </c>
      <c r="D40" s="30">
        <v>45352</v>
      </c>
      <c r="E40" s="31">
        <v>21.36</v>
      </c>
      <c r="F40" s="31">
        <v>11.31</v>
      </c>
      <c r="G40" s="31">
        <v>2</v>
      </c>
      <c r="H40" s="31" t="s">
        <v>49</v>
      </c>
      <c r="I40" s="13">
        <f>SUM(E40:H40)</f>
        <v>34.67</v>
      </c>
      <c r="J40" s="31">
        <v>11.41</v>
      </c>
      <c r="K40" s="31">
        <v>21.89</v>
      </c>
      <c r="L40" s="13">
        <f t="shared" ref="L40:L43" si="26">J40+K40</f>
        <v>33.299999999999997</v>
      </c>
      <c r="M40" s="13">
        <f t="shared" ref="M40:M48" si="27">I40/L40</f>
        <v>1.0411411411411413</v>
      </c>
    </row>
    <row r="41" spans="1:21" ht="28.8">
      <c r="A41" s="1">
        <v>1</v>
      </c>
      <c r="B41" s="29" t="s">
        <v>30</v>
      </c>
      <c r="C41" s="27">
        <v>542459</v>
      </c>
      <c r="D41" s="30">
        <v>44986</v>
      </c>
      <c r="E41" s="31">
        <v>16.47</v>
      </c>
      <c r="F41" s="31">
        <v>13.27</v>
      </c>
      <c r="G41" s="31">
        <v>2.7</v>
      </c>
      <c r="H41" s="31">
        <v>0</v>
      </c>
      <c r="I41" s="13">
        <f t="shared" ref="I41:I48" si="28">SUM(E41:H41)</f>
        <v>32.44</v>
      </c>
      <c r="J41" s="31">
        <v>10.56</v>
      </c>
      <c r="K41" s="31">
        <v>13.75</v>
      </c>
      <c r="L41" s="13">
        <f t="shared" si="26"/>
        <v>24.310000000000002</v>
      </c>
      <c r="M41" s="13">
        <f t="shared" si="27"/>
        <v>1.3344302756067459</v>
      </c>
    </row>
    <row r="42" spans="1:21" ht="28.8">
      <c r="A42" s="1">
        <v>1</v>
      </c>
      <c r="B42" s="29" t="s">
        <v>30</v>
      </c>
      <c r="C42" s="27">
        <v>542459</v>
      </c>
      <c r="D42" s="30">
        <v>44621</v>
      </c>
      <c r="E42" s="31">
        <v>9.59</v>
      </c>
      <c r="F42" s="31">
        <v>11.7</v>
      </c>
      <c r="G42" s="31">
        <v>3.48</v>
      </c>
      <c r="H42" s="31">
        <v>0</v>
      </c>
      <c r="I42" s="13">
        <f t="shared" si="28"/>
        <v>24.77</v>
      </c>
      <c r="J42" s="31">
        <v>10.56</v>
      </c>
      <c r="K42" s="31">
        <v>11.66</v>
      </c>
      <c r="L42" s="13">
        <f t="shared" si="26"/>
        <v>22.22</v>
      </c>
      <c r="M42" s="13">
        <f t="shared" si="27"/>
        <v>1.1147614761476148</v>
      </c>
    </row>
    <row r="43" spans="1:21" ht="28.8">
      <c r="A43" s="1">
        <v>1</v>
      </c>
      <c r="B43" s="29" t="s">
        <v>30</v>
      </c>
      <c r="C43" s="27">
        <v>542459</v>
      </c>
      <c r="D43" s="30">
        <v>44256</v>
      </c>
      <c r="E43" s="31">
        <v>16.420000000000002</v>
      </c>
      <c r="F43" s="31">
        <v>6.49</v>
      </c>
      <c r="G43" s="31">
        <v>0.53</v>
      </c>
      <c r="H43" s="31" t="s">
        <v>49</v>
      </c>
      <c r="I43" s="13">
        <f t="shared" si="28"/>
        <v>23.440000000000005</v>
      </c>
      <c r="J43" s="31">
        <v>8.8000000000000007</v>
      </c>
      <c r="K43" s="31">
        <v>11.37</v>
      </c>
      <c r="L43" s="13">
        <f t="shared" si="26"/>
        <v>20.170000000000002</v>
      </c>
      <c r="M43" s="13">
        <f t="shared" si="27"/>
        <v>1.1621219633118494</v>
      </c>
    </row>
    <row r="44" spans="1:21" ht="43.2">
      <c r="A44" s="1">
        <v>2</v>
      </c>
      <c r="B44" s="14" t="s">
        <v>31</v>
      </c>
      <c r="C44" s="14" t="s">
        <v>32</v>
      </c>
      <c r="D44" s="8">
        <v>45717</v>
      </c>
      <c r="E44" s="15">
        <v>24.09</v>
      </c>
      <c r="F44" s="15">
        <v>23.34</v>
      </c>
      <c r="G44" s="31">
        <v>0.83</v>
      </c>
      <c r="H44" s="31">
        <v>0</v>
      </c>
      <c r="I44" s="13">
        <f t="shared" si="28"/>
        <v>48.26</v>
      </c>
      <c r="J44" s="15">
        <v>27.53</v>
      </c>
      <c r="K44" s="17">
        <v>78.17</v>
      </c>
      <c r="L44" s="13">
        <f>J44+K44</f>
        <v>105.7</v>
      </c>
      <c r="M44" s="13">
        <f t="shared" si="27"/>
        <v>0.45657521286660357</v>
      </c>
      <c r="S44" s="32"/>
      <c r="T44" s="32"/>
      <c r="U44" s="32"/>
    </row>
    <row r="45" spans="1:21" ht="43.2">
      <c r="A45" s="1">
        <v>2</v>
      </c>
      <c r="B45" s="14" t="s">
        <v>31</v>
      </c>
      <c r="C45" s="14" t="s">
        <v>33</v>
      </c>
      <c r="D45" s="8">
        <v>45352</v>
      </c>
      <c r="E45" s="15">
        <v>11.29</v>
      </c>
      <c r="F45" s="15">
        <v>22.23</v>
      </c>
      <c r="G45" s="31">
        <v>0</v>
      </c>
      <c r="H45" s="31">
        <v>0.01</v>
      </c>
      <c r="I45" s="13">
        <f t="shared" si="28"/>
        <v>33.529999999999994</v>
      </c>
      <c r="J45" s="15">
        <v>27.53</v>
      </c>
      <c r="K45" s="17">
        <v>73.069999999999993</v>
      </c>
      <c r="L45" s="13">
        <f t="shared" ref="L45:L48" si="29">J45+K45</f>
        <v>100.6</v>
      </c>
      <c r="M45" s="13">
        <f t="shared" si="27"/>
        <v>0.333300198807157</v>
      </c>
      <c r="S45" s="32"/>
      <c r="T45" s="32"/>
      <c r="U45" s="32"/>
    </row>
    <row r="46" spans="1:21" ht="43.2">
      <c r="A46" s="1">
        <v>2</v>
      </c>
      <c r="B46" s="14" t="s">
        <v>31</v>
      </c>
      <c r="C46" s="14" t="s">
        <v>34</v>
      </c>
      <c r="D46" s="8">
        <v>44986</v>
      </c>
      <c r="E46" s="15">
        <v>12.05</v>
      </c>
      <c r="F46" s="15">
        <v>15.97</v>
      </c>
      <c r="G46" s="31">
        <v>0</v>
      </c>
      <c r="H46" s="31">
        <v>0.01</v>
      </c>
      <c r="I46" s="13">
        <f t="shared" si="28"/>
        <v>28.030000000000005</v>
      </c>
      <c r="J46" s="15">
        <v>27.53</v>
      </c>
      <c r="K46" s="17">
        <v>72.14</v>
      </c>
      <c r="L46" s="13">
        <f t="shared" si="29"/>
        <v>99.67</v>
      </c>
      <c r="M46" s="13">
        <f t="shared" si="27"/>
        <v>0.28122805257349259</v>
      </c>
      <c r="S46" s="32"/>
      <c r="T46" s="32"/>
      <c r="U46" s="32"/>
    </row>
    <row r="47" spans="1:21" ht="43.2">
      <c r="A47" s="1">
        <v>2</v>
      </c>
      <c r="B47" s="14" t="s">
        <v>31</v>
      </c>
      <c r="C47" s="14" t="s">
        <v>35</v>
      </c>
      <c r="D47" s="8">
        <v>44621</v>
      </c>
      <c r="E47" s="15">
        <v>6.27</v>
      </c>
      <c r="F47" s="15">
        <v>18.21</v>
      </c>
      <c r="G47" s="31">
        <v>0</v>
      </c>
      <c r="H47" s="31">
        <v>0</v>
      </c>
      <c r="I47" s="13">
        <f t="shared" si="28"/>
        <v>24.48</v>
      </c>
      <c r="J47" s="15">
        <v>26.54</v>
      </c>
      <c r="K47" s="17">
        <v>73.33</v>
      </c>
      <c r="L47" s="13">
        <f t="shared" si="29"/>
        <v>99.87</v>
      </c>
      <c r="M47" s="13">
        <f t="shared" si="27"/>
        <v>0.24511865425052567</v>
      </c>
      <c r="S47" s="32"/>
      <c r="T47" s="32"/>
      <c r="U47" s="32"/>
    </row>
    <row r="48" spans="1:21" ht="43.2">
      <c r="A48" s="1">
        <v>2</v>
      </c>
      <c r="B48" s="14" t="s">
        <v>31</v>
      </c>
      <c r="C48" s="14" t="s">
        <v>36</v>
      </c>
      <c r="D48" s="8">
        <v>44256</v>
      </c>
      <c r="E48" s="15">
        <v>7.33</v>
      </c>
      <c r="F48" s="15">
        <v>14.25</v>
      </c>
      <c r="G48" s="31">
        <v>0</v>
      </c>
      <c r="H48" s="31">
        <v>-0.01</v>
      </c>
      <c r="I48" s="13">
        <f t="shared" si="28"/>
        <v>21.569999999999997</v>
      </c>
      <c r="J48" s="15">
        <v>25.55</v>
      </c>
      <c r="K48" s="17">
        <v>74.02</v>
      </c>
      <c r="L48" s="13">
        <f t="shared" si="29"/>
        <v>99.57</v>
      </c>
      <c r="M48" s="13">
        <f t="shared" si="27"/>
        <v>0.21663151551672188</v>
      </c>
      <c r="S48" s="32"/>
      <c r="T48" s="32"/>
      <c r="U48" s="32"/>
    </row>
    <row r="49" spans="1:13" ht="43.2">
      <c r="A49" s="1">
        <v>3</v>
      </c>
      <c r="B49" s="18" t="s">
        <v>37</v>
      </c>
      <c r="C49" s="19" t="s">
        <v>38</v>
      </c>
      <c r="D49" s="8">
        <v>45717</v>
      </c>
      <c r="E49" s="13">
        <v>7</v>
      </c>
      <c r="F49" s="13">
        <v>22</v>
      </c>
      <c r="G49" s="13">
        <v>0</v>
      </c>
      <c r="H49" s="13">
        <v>0</v>
      </c>
      <c r="I49" s="13">
        <v>29</v>
      </c>
      <c r="J49" s="13">
        <v>14</v>
      </c>
      <c r="K49" s="13">
        <v>179</v>
      </c>
      <c r="L49" s="13">
        <v>193</v>
      </c>
      <c r="M49" s="13">
        <f>I49/L49</f>
        <v>0.15025906735751296</v>
      </c>
    </row>
    <row r="50" spans="1:13" ht="43.2">
      <c r="A50" s="1">
        <v>3</v>
      </c>
      <c r="B50" s="18" t="s">
        <v>37</v>
      </c>
      <c r="C50" s="19" t="s">
        <v>38</v>
      </c>
      <c r="D50" s="8">
        <v>45352</v>
      </c>
      <c r="E50" s="15">
        <v>14</v>
      </c>
      <c r="F50" s="15">
        <v>96</v>
      </c>
      <c r="G50" s="31">
        <v>0</v>
      </c>
      <c r="H50" s="31">
        <v>0</v>
      </c>
      <c r="I50" s="13">
        <v>110</v>
      </c>
      <c r="J50" s="15">
        <v>12</v>
      </c>
      <c r="K50" s="17">
        <v>53</v>
      </c>
      <c r="L50" s="13">
        <v>65</v>
      </c>
      <c r="M50" s="13">
        <f t="shared" ref="M50:M53" si="30">I50/L50</f>
        <v>1.6923076923076923</v>
      </c>
    </row>
    <row r="51" spans="1:13" ht="43.2">
      <c r="A51" s="1">
        <v>3</v>
      </c>
      <c r="B51" s="18" t="s">
        <v>37</v>
      </c>
      <c r="C51" s="19" t="s">
        <v>38</v>
      </c>
      <c r="D51" s="8">
        <v>44986</v>
      </c>
      <c r="E51" s="15">
        <v>23</v>
      </c>
      <c r="F51" s="15">
        <v>66</v>
      </c>
      <c r="G51" s="31">
        <v>0</v>
      </c>
      <c r="H51" s="31">
        <v>0</v>
      </c>
      <c r="I51" s="13">
        <v>89</v>
      </c>
      <c r="J51" s="15">
        <v>12</v>
      </c>
      <c r="K51" s="17">
        <v>45</v>
      </c>
      <c r="L51" s="13">
        <v>57</v>
      </c>
      <c r="M51" s="13">
        <f t="shared" si="30"/>
        <v>1.5614035087719298</v>
      </c>
    </row>
    <row r="52" spans="1:13" ht="43.2">
      <c r="A52" s="1">
        <v>3</v>
      </c>
      <c r="B52" s="18" t="s">
        <v>37</v>
      </c>
      <c r="C52" s="19" t="s">
        <v>38</v>
      </c>
      <c r="D52" s="8">
        <v>44621</v>
      </c>
      <c r="E52" s="15">
        <v>17</v>
      </c>
      <c r="F52" s="15">
        <v>58</v>
      </c>
      <c r="G52" s="31">
        <v>1</v>
      </c>
      <c r="H52" s="31">
        <v>0</v>
      </c>
      <c r="I52" s="13">
        <v>76</v>
      </c>
      <c r="J52" s="15">
        <v>6</v>
      </c>
      <c r="K52" s="17">
        <v>45</v>
      </c>
      <c r="L52" s="13">
        <v>51</v>
      </c>
      <c r="M52" s="13">
        <f t="shared" si="30"/>
        <v>1.4901960784313726</v>
      </c>
    </row>
    <row r="53" spans="1:13" ht="43.2">
      <c r="A53" s="1">
        <v>3</v>
      </c>
      <c r="B53" s="18" t="s">
        <v>37</v>
      </c>
      <c r="C53" s="19" t="s">
        <v>38</v>
      </c>
      <c r="D53" s="8">
        <v>44256</v>
      </c>
      <c r="E53" s="15">
        <v>18</v>
      </c>
      <c r="F53" s="15">
        <v>27</v>
      </c>
      <c r="G53" s="31">
        <v>0</v>
      </c>
      <c r="H53" s="31">
        <v>0</v>
      </c>
      <c r="I53" s="13">
        <v>45</v>
      </c>
      <c r="J53" s="15">
        <v>6</v>
      </c>
      <c r="K53" s="17">
        <v>40</v>
      </c>
      <c r="L53" s="13">
        <v>46</v>
      </c>
      <c r="M53" s="13">
        <f t="shared" si="30"/>
        <v>0.97826086956521741</v>
      </c>
    </row>
    <row r="54" spans="1:13" ht="43.2">
      <c r="A54" s="1">
        <v>4</v>
      </c>
      <c r="B54" s="21" t="s">
        <v>39</v>
      </c>
      <c r="C54" s="19">
        <v>505712</v>
      </c>
      <c r="D54" s="8">
        <v>45717</v>
      </c>
      <c r="E54" s="15">
        <v>36</v>
      </c>
      <c r="F54" s="23">
        <v>115</v>
      </c>
      <c r="G54" s="31">
        <v>0</v>
      </c>
      <c r="H54" s="31">
        <v>0</v>
      </c>
      <c r="I54" s="13">
        <v>151</v>
      </c>
      <c r="J54" s="15">
        <v>2</v>
      </c>
      <c r="K54" s="17">
        <v>218</v>
      </c>
      <c r="L54" s="13">
        <v>220</v>
      </c>
      <c r="M54" s="13">
        <f>I54/L54</f>
        <v>0.6863636363636364</v>
      </c>
    </row>
    <row r="55" spans="1:13" ht="43.2">
      <c r="A55" s="1">
        <v>4</v>
      </c>
      <c r="B55" s="21" t="s">
        <v>39</v>
      </c>
      <c r="C55" s="19">
        <v>505712</v>
      </c>
      <c r="D55" s="8">
        <v>45352</v>
      </c>
      <c r="E55" s="15">
        <v>50</v>
      </c>
      <c r="F55" s="23">
        <v>99</v>
      </c>
      <c r="G55" s="31">
        <v>0</v>
      </c>
      <c r="H55" s="31">
        <v>0</v>
      </c>
      <c r="I55" s="13">
        <v>149</v>
      </c>
      <c r="J55" s="15">
        <v>2</v>
      </c>
      <c r="K55" s="17">
        <v>178</v>
      </c>
      <c r="L55" s="13">
        <v>180</v>
      </c>
      <c r="M55" s="13">
        <f t="shared" ref="M55:M58" si="31">I55/L55</f>
        <v>0.82777777777777772</v>
      </c>
    </row>
    <row r="56" spans="1:13" ht="43.2">
      <c r="A56" s="1">
        <v>4</v>
      </c>
      <c r="B56" s="21" t="s">
        <v>39</v>
      </c>
      <c r="C56" s="19">
        <v>505712</v>
      </c>
      <c r="D56" s="8">
        <v>44986</v>
      </c>
      <c r="E56" s="15">
        <v>40</v>
      </c>
      <c r="F56" s="23">
        <v>107</v>
      </c>
      <c r="G56" s="31">
        <v>0</v>
      </c>
      <c r="H56" s="31">
        <v>0</v>
      </c>
      <c r="I56" s="13">
        <v>147</v>
      </c>
      <c r="J56" s="15">
        <v>2</v>
      </c>
      <c r="K56" s="17">
        <v>172</v>
      </c>
      <c r="L56" s="13">
        <v>174</v>
      </c>
      <c r="M56" s="13">
        <f t="shared" si="31"/>
        <v>0.84482758620689657</v>
      </c>
    </row>
    <row r="57" spans="1:13" ht="43.2">
      <c r="A57" s="1">
        <v>4</v>
      </c>
      <c r="B57" s="21" t="s">
        <v>39</v>
      </c>
      <c r="C57" s="19">
        <v>505712</v>
      </c>
      <c r="D57" s="8">
        <v>44621</v>
      </c>
      <c r="E57" s="15">
        <v>43</v>
      </c>
      <c r="F57" s="23">
        <v>107</v>
      </c>
      <c r="G57" s="31">
        <v>0</v>
      </c>
      <c r="H57" s="31">
        <v>0</v>
      </c>
      <c r="I57" s="13">
        <v>150</v>
      </c>
      <c r="J57" s="15">
        <v>2</v>
      </c>
      <c r="K57" s="17">
        <v>161</v>
      </c>
      <c r="L57" s="13">
        <v>163</v>
      </c>
      <c r="M57" s="13">
        <f t="shared" si="31"/>
        <v>0.92024539877300615</v>
      </c>
    </row>
    <row r="58" spans="1:13" ht="43.2">
      <c r="A58" s="1">
        <v>4</v>
      </c>
      <c r="B58" s="21" t="s">
        <v>39</v>
      </c>
      <c r="C58" s="19">
        <v>505712</v>
      </c>
      <c r="D58" s="8">
        <v>44256</v>
      </c>
      <c r="E58" s="15">
        <v>45</v>
      </c>
      <c r="F58" s="23">
        <v>106</v>
      </c>
      <c r="G58" s="31">
        <v>0</v>
      </c>
      <c r="H58" s="31">
        <v>0</v>
      </c>
      <c r="I58" s="13">
        <v>151</v>
      </c>
      <c r="J58" s="15">
        <v>2</v>
      </c>
      <c r="K58" s="17">
        <v>153</v>
      </c>
      <c r="L58" s="13">
        <v>155</v>
      </c>
      <c r="M58" s="13">
        <f t="shared" si="31"/>
        <v>0.97419354838709682</v>
      </c>
    </row>
    <row r="59" spans="1:13" ht="57.6">
      <c r="A59" s="1">
        <v>5</v>
      </c>
      <c r="B59" s="21" t="s">
        <v>40</v>
      </c>
      <c r="C59" s="14">
        <v>539314</v>
      </c>
      <c r="D59" s="8">
        <v>45717</v>
      </c>
      <c r="E59" s="22">
        <v>15.53</v>
      </c>
      <c r="F59" s="22">
        <v>30.54</v>
      </c>
      <c r="G59" s="31">
        <v>0</v>
      </c>
      <c r="H59" s="31">
        <v>0</v>
      </c>
      <c r="I59" s="13">
        <v>46.07</v>
      </c>
      <c r="J59" s="15">
        <v>12</v>
      </c>
      <c r="K59" s="17">
        <v>63</v>
      </c>
      <c r="L59" s="13">
        <v>75</v>
      </c>
      <c r="M59" s="13">
        <f>I59/L59</f>
        <v>0.61426666666666663</v>
      </c>
    </row>
    <row r="60" spans="1:13" ht="57.6">
      <c r="A60" s="1">
        <v>5</v>
      </c>
      <c r="B60" s="21" t="s">
        <v>40</v>
      </c>
      <c r="C60" s="14">
        <v>539315</v>
      </c>
      <c r="D60" s="8">
        <v>45352</v>
      </c>
      <c r="E60" s="22">
        <v>20.53</v>
      </c>
      <c r="F60" s="22">
        <v>16.43</v>
      </c>
      <c r="G60" s="31">
        <v>0</v>
      </c>
      <c r="H60" s="31">
        <v>-0.01</v>
      </c>
      <c r="I60" s="13">
        <v>36.950000000000003</v>
      </c>
      <c r="J60" s="15">
        <v>12</v>
      </c>
      <c r="K60" s="17">
        <v>61</v>
      </c>
      <c r="L60" s="13">
        <v>73</v>
      </c>
      <c r="M60" s="13">
        <f t="shared" ref="M60:M63" si="32">I60/L60</f>
        <v>0.50616438356164384</v>
      </c>
    </row>
    <row r="61" spans="1:13" ht="57.6">
      <c r="A61" s="1">
        <v>5</v>
      </c>
      <c r="B61" s="21" t="s">
        <v>40</v>
      </c>
      <c r="C61" s="14">
        <v>539316</v>
      </c>
      <c r="D61" s="8">
        <v>44986</v>
      </c>
      <c r="E61" s="22">
        <v>16.559999999999999</v>
      </c>
      <c r="F61" s="22">
        <v>38.15</v>
      </c>
      <c r="G61" s="31">
        <v>0</v>
      </c>
      <c r="H61" s="31">
        <v>0</v>
      </c>
      <c r="I61" s="13">
        <v>54.71</v>
      </c>
      <c r="J61" s="15">
        <v>12</v>
      </c>
      <c r="K61" s="17">
        <v>46</v>
      </c>
      <c r="L61" s="13">
        <v>58</v>
      </c>
      <c r="M61" s="13">
        <f t="shared" si="32"/>
        <v>0.94327586206896552</v>
      </c>
    </row>
    <row r="62" spans="1:13" ht="57.6">
      <c r="A62" s="1">
        <v>5</v>
      </c>
      <c r="B62" s="21" t="s">
        <v>40</v>
      </c>
      <c r="C62" s="14">
        <v>539317</v>
      </c>
      <c r="D62" s="8">
        <v>44621</v>
      </c>
      <c r="E62" s="22">
        <v>18.399999999999999</v>
      </c>
      <c r="F62" s="22">
        <v>27.67</v>
      </c>
      <c r="G62" s="31">
        <v>0</v>
      </c>
      <c r="H62" s="31">
        <v>0</v>
      </c>
      <c r="I62" s="13">
        <v>46.07</v>
      </c>
      <c r="J62" s="15">
        <v>10</v>
      </c>
      <c r="K62" s="17">
        <v>12</v>
      </c>
      <c r="L62" s="13">
        <v>22</v>
      </c>
      <c r="M62" s="13">
        <f t="shared" si="32"/>
        <v>2.0940909090909092</v>
      </c>
    </row>
    <row r="63" spans="1:13" ht="57.6">
      <c r="A63" s="1">
        <v>5</v>
      </c>
      <c r="B63" s="21" t="s">
        <v>40</v>
      </c>
      <c r="C63" s="14">
        <v>539314</v>
      </c>
      <c r="D63" s="8">
        <v>44256</v>
      </c>
      <c r="E63" s="22">
        <v>16.91</v>
      </c>
      <c r="F63" s="22">
        <v>24.27</v>
      </c>
      <c r="G63" s="31">
        <v>0</v>
      </c>
      <c r="H63" s="31">
        <v>0</v>
      </c>
      <c r="I63" s="13">
        <v>41.18</v>
      </c>
      <c r="J63" s="15">
        <v>8</v>
      </c>
      <c r="K63" s="17">
        <v>17</v>
      </c>
      <c r="L63" s="13">
        <v>25</v>
      </c>
      <c r="M63" s="13">
        <f t="shared" si="32"/>
        <v>1.6472</v>
      </c>
    </row>
  </sheetData>
  <mergeCells count="3">
    <mergeCell ref="B2:AC2"/>
    <mergeCell ref="B5:H5"/>
    <mergeCell ref="B36:I36"/>
  </mergeCells>
  <hyperlinks>
    <hyperlink ref="B40:B43" r:id="rId1" display="https://www.screener.in/company/542459/consolidated/" xr:uid="{F3FEC9DC-E941-4BCC-87A8-0FA30C2BBA6A}"/>
    <hyperlink ref="B39" r:id="rId2" display="https://www.screener.in/company/542459/consolidated/" xr:uid="{C5918A02-367E-4763-A6CD-779DB4799C46}"/>
    <hyperlink ref="B9:B12" r:id="rId3" display="https://www.screener.in/company/542459/consolidated/" xr:uid="{19A8ADEB-33F4-4CA3-B5C0-5458975AF89A}"/>
    <hyperlink ref="B8" r:id="rId4" display="https://www.screener.in/company/542459/consolidated/" xr:uid="{C3DA6D69-EBFB-4403-B106-C9D387BE84B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EDDB-3111-4BB3-9625-A2B805D95B82}">
  <dimension ref="B4:W221"/>
  <sheetViews>
    <sheetView tabSelected="1" topLeftCell="A153" workbookViewId="0">
      <selection activeCell="R203" sqref="R203"/>
    </sheetView>
  </sheetViews>
  <sheetFormatPr defaultRowHeight="14.4"/>
  <cols>
    <col min="1" max="16384" width="8.88671875" style="36"/>
  </cols>
  <sheetData>
    <row r="4" spans="4:18" ht="18">
      <c r="D4" s="37" t="s">
        <v>63</v>
      </c>
      <c r="E4" s="37"/>
      <c r="F4" s="37"/>
      <c r="G4" s="37"/>
      <c r="H4" s="37"/>
      <c r="I4" s="37"/>
      <c r="J4" s="37"/>
      <c r="K4" s="37"/>
      <c r="M4" s="40" t="s">
        <v>64</v>
      </c>
      <c r="N4"/>
      <c r="O4"/>
      <c r="P4"/>
      <c r="Q4"/>
      <c r="R4"/>
    </row>
    <row r="5" spans="4:18">
      <c r="D5" s="38" t="s">
        <v>51</v>
      </c>
      <c r="E5" s="39" t="s">
        <v>52</v>
      </c>
      <c r="F5" s="39"/>
      <c r="G5" s="39"/>
      <c r="H5" s="39"/>
      <c r="I5" s="39"/>
      <c r="J5" s="39"/>
      <c r="K5" s="39"/>
      <c r="M5"/>
      <c r="N5"/>
      <c r="O5"/>
      <c r="P5"/>
      <c r="Q5"/>
      <c r="R5"/>
    </row>
    <row r="6" spans="4:18" ht="43.2">
      <c r="D6" s="38"/>
      <c r="E6" s="39" t="s">
        <v>53</v>
      </c>
      <c r="F6" s="39"/>
      <c r="G6" s="39"/>
      <c r="H6" s="39" t="s">
        <v>54</v>
      </c>
      <c r="I6" s="39"/>
      <c r="J6" s="39"/>
      <c r="K6" s="5" t="s">
        <v>55</v>
      </c>
      <c r="M6" s="41" t="s">
        <v>65</v>
      </c>
      <c r="N6" s="41" t="s">
        <v>66</v>
      </c>
      <c r="O6" s="41" t="s">
        <v>67</v>
      </c>
      <c r="P6" s="41" t="s">
        <v>68</v>
      </c>
      <c r="Q6" s="41" t="s">
        <v>69</v>
      </c>
      <c r="R6" s="41" t="s">
        <v>70</v>
      </c>
    </row>
    <row r="7" spans="4:18" ht="57.6">
      <c r="D7" s="6" t="s">
        <v>27</v>
      </c>
      <c r="E7" s="6" t="s">
        <v>56</v>
      </c>
      <c r="F7" s="6" t="s">
        <v>57</v>
      </c>
      <c r="G7" s="5" t="s">
        <v>58</v>
      </c>
      <c r="H7" s="6" t="s">
        <v>59</v>
      </c>
      <c r="I7" s="5" t="s">
        <v>60</v>
      </c>
      <c r="J7" s="5" t="s">
        <v>61</v>
      </c>
      <c r="K7" s="5" t="s">
        <v>62</v>
      </c>
      <c r="M7" s="43" t="s">
        <v>27</v>
      </c>
      <c r="N7" s="42">
        <v>19.38</v>
      </c>
      <c r="O7" s="42">
        <v>18.2</v>
      </c>
      <c r="P7" s="42">
        <v>8.31</v>
      </c>
      <c r="Q7" s="42">
        <v>4.03</v>
      </c>
      <c r="R7" s="42">
        <v>36.630000000000003</v>
      </c>
    </row>
    <row r="8" spans="4:18">
      <c r="D8" s="12">
        <v>12.918441874619599</v>
      </c>
      <c r="E8" s="12">
        <v>0.87811387900355875</v>
      </c>
      <c r="F8" s="12">
        <v>0.9</v>
      </c>
      <c r="G8" s="12">
        <v>-13.344533781351259</v>
      </c>
      <c r="H8" s="12">
        <f>E8*F8</f>
        <v>0.79030249110320294</v>
      </c>
      <c r="I8" s="12">
        <f>E8*G8</f>
        <v>-11.718020322236383</v>
      </c>
      <c r="J8" s="6">
        <f>F8*G8</f>
        <v>-12.010080403216135</v>
      </c>
      <c r="K8" s="12">
        <f>E8*F8*G8</f>
        <v>-10.546218290012744</v>
      </c>
      <c r="M8" s="43" t="s">
        <v>56</v>
      </c>
      <c r="N8" s="42">
        <v>0.97</v>
      </c>
      <c r="O8" s="42">
        <v>0.88</v>
      </c>
      <c r="P8" s="42">
        <v>0.36</v>
      </c>
      <c r="Q8" s="42">
        <v>0.4</v>
      </c>
      <c r="R8" s="42">
        <v>2.19</v>
      </c>
    </row>
    <row r="9" spans="4:18">
      <c r="D9" s="12">
        <v>19.414455626715462</v>
      </c>
      <c r="E9" s="12">
        <v>0.86768060836501881</v>
      </c>
      <c r="F9" s="12">
        <v>1.04</v>
      </c>
      <c r="G9" s="12">
        <v>-8.8293216630196998</v>
      </c>
      <c r="H9" s="12">
        <f t="shared" ref="H9:H32" si="0">E9*F9</f>
        <v>0.90238783269961964</v>
      </c>
      <c r="I9" s="12">
        <f t="shared" ref="I9:I32" si="1">E9*G9</f>
        <v>-7.6610311920193723</v>
      </c>
      <c r="J9" s="6">
        <f t="shared" ref="J9:J32" si="2">F9*G9</f>
        <v>-9.1824945295404881</v>
      </c>
      <c r="K9" s="12">
        <f t="shared" ref="K9:K32" si="3">E9*F9*G9</f>
        <v>-7.9674724397001482</v>
      </c>
      <c r="M9" s="43" t="s">
        <v>57</v>
      </c>
      <c r="N9" s="42">
        <v>0.84</v>
      </c>
      <c r="O9" s="42">
        <v>0.84</v>
      </c>
      <c r="P9" s="42">
        <v>0.41</v>
      </c>
      <c r="Q9" s="42">
        <v>0.15</v>
      </c>
      <c r="R9" s="42">
        <v>1.69</v>
      </c>
    </row>
    <row r="10" spans="4:18" ht="28.8">
      <c r="D10" s="12">
        <v>22.486512996566944</v>
      </c>
      <c r="E10" s="12">
        <v>0.48072370645924922</v>
      </c>
      <c r="F10" s="12">
        <v>1.33</v>
      </c>
      <c r="G10" s="12">
        <v>-0.40318186771274966</v>
      </c>
      <c r="H10" s="12">
        <f t="shared" si="0"/>
        <v>0.63936252959080153</v>
      </c>
      <c r="I10" s="12">
        <f t="shared" si="1"/>
        <v>-0.19381908182403573</v>
      </c>
      <c r="J10" s="6">
        <f t="shared" si="2"/>
        <v>-0.53623188405795708</v>
      </c>
      <c r="K10" s="12">
        <f t="shared" si="3"/>
        <v>-0.25777937882596752</v>
      </c>
      <c r="M10" s="43" t="s">
        <v>58</v>
      </c>
      <c r="N10" s="42">
        <v>15</v>
      </c>
      <c r="O10" s="42">
        <v>7.77</v>
      </c>
      <c r="P10" s="42">
        <v>22.24</v>
      </c>
      <c r="Q10" s="42">
        <v>-14.41</v>
      </c>
      <c r="R10" s="42">
        <v>69.91</v>
      </c>
    </row>
    <row r="11" spans="4:18">
      <c r="D11" s="12">
        <v>27.035523420308078</v>
      </c>
      <c r="E11" s="12">
        <v>0.39956092206366634</v>
      </c>
      <c r="F11" s="12">
        <v>1.1100000000000001</v>
      </c>
      <c r="G11" s="12">
        <v>69.912979077948535</v>
      </c>
      <c r="H11" s="12">
        <f t="shared" si="0"/>
        <v>0.44351262349066967</v>
      </c>
      <c r="I11" s="12">
        <f t="shared" si="1"/>
        <v>27.934494384602928</v>
      </c>
      <c r="J11" s="6">
        <f t="shared" si="2"/>
        <v>77.603406776522874</v>
      </c>
      <c r="K11" s="12">
        <f t="shared" si="3"/>
        <v>31.007288766909255</v>
      </c>
      <c r="M11" s="43" t="s">
        <v>71</v>
      </c>
      <c r="N11" s="42">
        <v>0.8</v>
      </c>
      <c r="O11" s="42">
        <v>0.79</v>
      </c>
      <c r="P11" s="42">
        <v>0.33</v>
      </c>
      <c r="Q11" s="42">
        <v>0.24</v>
      </c>
      <c r="R11" s="42">
        <v>1.7</v>
      </c>
    </row>
    <row r="12" spans="4:18" ht="43.2">
      <c r="D12" s="12">
        <v>12.821213778020777</v>
      </c>
      <c r="E12" s="12">
        <v>0.74132877381533957</v>
      </c>
      <c r="F12" s="12">
        <v>1.1599999999999999</v>
      </c>
      <c r="G12" s="12">
        <v>13.585699263932705</v>
      </c>
      <c r="H12" s="12">
        <f t="shared" si="0"/>
        <v>0.85994137762579381</v>
      </c>
      <c r="I12" s="12">
        <f t="shared" si="1"/>
        <v>10.071469776755194</v>
      </c>
      <c r="J12" s="6">
        <f t="shared" si="2"/>
        <v>15.759411146161936</v>
      </c>
      <c r="K12" s="12">
        <f t="shared" si="3"/>
        <v>11.682904941036023</v>
      </c>
      <c r="M12" s="43" t="s">
        <v>72</v>
      </c>
      <c r="N12" s="42">
        <v>12.56</v>
      </c>
      <c r="O12" s="42">
        <v>6.85</v>
      </c>
      <c r="P12" s="42">
        <v>18.190000000000001</v>
      </c>
      <c r="Q12" s="42">
        <v>-20.010000000000002</v>
      </c>
      <c r="R12" s="42">
        <v>63.14</v>
      </c>
    </row>
    <row r="13" spans="4:18" ht="43.2">
      <c r="D13" s="12">
        <v>12.440305635148043</v>
      </c>
      <c r="E13" s="12">
        <v>1.1931732366711976</v>
      </c>
      <c r="F13" s="12">
        <v>0.45657521286660357</v>
      </c>
      <c r="G13" s="12">
        <v>2.6222779614639284</v>
      </c>
      <c r="H13" s="12">
        <f t="shared" si="0"/>
        <v>0.54477332451988636</v>
      </c>
      <c r="I13" s="12">
        <f t="shared" si="1"/>
        <v>3.1288318827314652</v>
      </c>
      <c r="J13" s="6">
        <f t="shared" si="2"/>
        <v>1.1972671184507964</v>
      </c>
      <c r="K13" s="12">
        <f t="shared" si="3"/>
        <v>1.4285470828819347</v>
      </c>
      <c r="M13" s="43" t="s">
        <v>73</v>
      </c>
      <c r="N13" s="42">
        <v>18.79</v>
      </c>
      <c r="O13" s="42">
        <v>8.1199999999999992</v>
      </c>
      <c r="P13" s="42">
        <v>24.45</v>
      </c>
      <c r="Q13" s="42">
        <v>-12.01</v>
      </c>
      <c r="R13" s="42">
        <v>77.599999999999994</v>
      </c>
    </row>
    <row r="14" spans="4:18" ht="28.8">
      <c r="D14" s="12">
        <v>13.329172610556347</v>
      </c>
      <c r="E14" s="12">
        <v>0.99882491186839018</v>
      </c>
      <c r="F14" s="12">
        <v>0.333300198807157</v>
      </c>
      <c r="G14" s="12">
        <v>6.6901836759518316</v>
      </c>
      <c r="H14" s="12">
        <f t="shared" si="0"/>
        <v>0.33290854169927553</v>
      </c>
      <c r="I14" s="12">
        <f t="shared" si="1"/>
        <v>6.6823221205159307</v>
      </c>
      <c r="J14" s="6">
        <f t="shared" si="2"/>
        <v>2.229839549251142</v>
      </c>
      <c r="K14" s="12">
        <f t="shared" si="3"/>
        <v>2.2272192912614228</v>
      </c>
      <c r="M14" s="43" t="s">
        <v>74</v>
      </c>
      <c r="N14" s="42">
        <v>13.83</v>
      </c>
      <c r="O14" s="42">
        <v>6.05</v>
      </c>
      <c r="P14" s="42">
        <v>17.39</v>
      </c>
      <c r="Q14" s="42">
        <v>-10.55</v>
      </c>
      <c r="R14" s="42">
        <v>65.849999999999994</v>
      </c>
    </row>
    <row r="15" spans="4:18">
      <c r="D15" s="12">
        <v>11.178734449118409</v>
      </c>
      <c r="E15" s="12">
        <v>0.9688638622060286</v>
      </c>
      <c r="F15" s="12">
        <v>0.28122805257349259</v>
      </c>
      <c r="G15" s="12">
        <v>37.268325262982117</v>
      </c>
      <c r="H15" s="12">
        <f t="shared" si="0"/>
        <v>0.27247169717703412</v>
      </c>
      <c r="I15" s="12">
        <f t="shared" si="1"/>
        <v>36.10793355224336</v>
      </c>
      <c r="J15" s="6">
        <f t="shared" si="2"/>
        <v>10.480898536383958</v>
      </c>
      <c r="K15" s="12">
        <f t="shared" si="3"/>
        <v>10.154563835350475</v>
      </c>
      <c r="M15"/>
      <c r="N15"/>
      <c r="O15"/>
      <c r="P15"/>
      <c r="Q15"/>
      <c r="R15"/>
    </row>
    <row r="16" spans="4:18" ht="18">
      <c r="D16" s="12">
        <v>5.7612391386475252</v>
      </c>
      <c r="E16" s="12">
        <v>0.98159509202453987</v>
      </c>
      <c r="F16" s="12">
        <v>0.24511865425052567</v>
      </c>
      <c r="G16" s="12">
        <v>26.885593220338976</v>
      </c>
      <c r="H16" s="12">
        <f t="shared" si="0"/>
        <v>0.24060726797597612</v>
      </c>
      <c r="I16" s="12">
        <f t="shared" si="1"/>
        <v>26.390766351252982</v>
      </c>
      <c r="J16" s="6">
        <f t="shared" si="2"/>
        <v>6.5901604288965467</v>
      </c>
      <c r="K16" s="12">
        <f t="shared" si="3"/>
        <v>6.4688691326591865</v>
      </c>
      <c r="M16" s="40" t="s">
        <v>85</v>
      </c>
      <c r="N16"/>
      <c r="O16"/>
      <c r="P16"/>
      <c r="Q16"/>
      <c r="R16"/>
    </row>
    <row r="17" spans="4:18">
      <c r="D17" s="12">
        <v>4.0345821325648412</v>
      </c>
      <c r="E17" s="12">
        <v>1.1756061719324027</v>
      </c>
      <c r="F17" s="12">
        <v>0.21663151551672188</v>
      </c>
      <c r="G17" s="12">
        <v>-11.808669656203287</v>
      </c>
      <c r="H17" s="12">
        <f t="shared" si="0"/>
        <v>0.2546733466765283</v>
      </c>
      <c r="I17" s="12">
        <f t="shared" si="1"/>
        <v>-13.882344930143468</v>
      </c>
      <c r="J17" s="6">
        <f t="shared" si="2"/>
        <v>-2.5581300038596453</v>
      </c>
      <c r="K17" s="12">
        <f t="shared" si="3"/>
        <v>-3.0073534211428599</v>
      </c>
      <c r="M17" s="44"/>
      <c r="N17"/>
      <c r="O17"/>
      <c r="P17"/>
      <c r="Q17"/>
      <c r="R17"/>
    </row>
    <row r="18" spans="4:18">
      <c r="D18" s="12">
        <v>15.874681457052917</v>
      </c>
      <c r="E18" s="12">
        <v>2.189482299979538</v>
      </c>
      <c r="F18" s="12">
        <v>0.15025906735751296</v>
      </c>
      <c r="G18" s="12">
        <v>5.3003533568904597</v>
      </c>
      <c r="H18" s="12">
        <f t="shared" si="0"/>
        <v>0.32898956839070781</v>
      </c>
      <c r="I18" s="12">
        <f t="shared" si="1"/>
        <v>11.605029858548789</v>
      </c>
      <c r="J18" s="6">
        <f t="shared" si="2"/>
        <v>0.79642615207162348</v>
      </c>
      <c r="K18" s="12">
        <f t="shared" si="3"/>
        <v>1.7437609632016315</v>
      </c>
      <c r="M18" s="45" t="s">
        <v>75</v>
      </c>
      <c r="N18"/>
      <c r="O18"/>
      <c r="P18"/>
      <c r="Q18"/>
      <c r="R18"/>
    </row>
    <row r="19" spans="4:18">
      <c r="D19" s="12">
        <v>36.625</v>
      </c>
      <c r="E19" s="12">
        <v>0.70503597122302164</v>
      </c>
      <c r="F19" s="12">
        <v>1.6923076923076923</v>
      </c>
      <c r="G19" s="12">
        <v>7.6045627376425857</v>
      </c>
      <c r="H19" s="12">
        <f t="shared" si="0"/>
        <v>1.1931377974543442</v>
      </c>
      <c r="I19" s="12">
        <f t="shared" si="1"/>
        <v>5.3614902754602412</v>
      </c>
      <c r="J19" s="6">
        <f t="shared" si="2"/>
        <v>12.86926001754899</v>
      </c>
      <c r="K19" s="12">
        <f t="shared" si="3"/>
        <v>9.0732912353942528</v>
      </c>
      <c r="M19" s="44"/>
      <c r="N19"/>
      <c r="O19"/>
      <c r="P19"/>
      <c r="Q19"/>
      <c r="R19"/>
    </row>
    <row r="20" spans="4:18">
      <c r="D20" s="12">
        <v>30.533584431889516</v>
      </c>
      <c r="E20" s="12">
        <v>0.74563272262462732</v>
      </c>
      <c r="F20" s="12">
        <v>1.5614035087719298</v>
      </c>
      <c r="G20" s="12">
        <v>5.2</v>
      </c>
      <c r="H20" s="12">
        <f t="shared" si="0"/>
        <v>1.1642335493612601</v>
      </c>
      <c r="I20" s="12">
        <f t="shared" si="1"/>
        <v>3.8772901576480621</v>
      </c>
      <c r="J20" s="6">
        <f t="shared" si="2"/>
        <v>8.1192982456140346</v>
      </c>
      <c r="K20" s="12">
        <f t="shared" si="3"/>
        <v>6.0540144566785532</v>
      </c>
      <c r="M20" s="45" t="s">
        <v>76</v>
      </c>
      <c r="N20"/>
      <c r="O20"/>
      <c r="P20"/>
      <c r="Q20"/>
      <c r="R20"/>
    </row>
    <row r="21" spans="4:18">
      <c r="D21" s="12">
        <v>31.749106078665072</v>
      </c>
      <c r="E21" s="12">
        <v>0.75337034099920708</v>
      </c>
      <c r="F21" s="12">
        <v>1.4901960784313726</v>
      </c>
      <c r="G21" s="12">
        <v>46.198830409356724</v>
      </c>
      <c r="H21" s="12">
        <f t="shared" si="0"/>
        <v>1.1226695277635244</v>
      </c>
      <c r="I21" s="12">
        <f t="shared" si="1"/>
        <v>34.804828619261613</v>
      </c>
      <c r="J21" s="6">
        <f t="shared" si="2"/>
        <v>68.84531590413944</v>
      </c>
      <c r="K21" s="12">
        <f t="shared" si="3"/>
        <v>51.866019118899665</v>
      </c>
      <c r="M21" s="44"/>
      <c r="N21"/>
      <c r="O21"/>
      <c r="P21"/>
      <c r="Q21"/>
      <c r="R21"/>
    </row>
    <row r="22" spans="4:18">
      <c r="D22" s="12">
        <v>23.783359497645215</v>
      </c>
      <c r="E22" s="12">
        <v>0.84013050570962466</v>
      </c>
      <c r="F22" s="12">
        <v>0.97826086956521741</v>
      </c>
      <c r="G22" s="12">
        <v>25.735294117647058</v>
      </c>
      <c r="H22" s="12">
        <f t="shared" si="0"/>
        <v>0.82186679906376325</v>
      </c>
      <c r="I22" s="12">
        <f t="shared" si="1"/>
        <v>21.621005661644752</v>
      </c>
      <c r="J22" s="6">
        <f t="shared" si="2"/>
        <v>25.175831202046034</v>
      </c>
      <c r="K22" s="12">
        <f t="shared" si="3"/>
        <v>21.150983799435082</v>
      </c>
      <c r="M22" s="45" t="s">
        <v>77</v>
      </c>
      <c r="N22"/>
      <c r="O22"/>
      <c r="P22"/>
      <c r="Q22"/>
      <c r="R22"/>
    </row>
    <row r="23" spans="4:18">
      <c r="D23" s="12">
        <v>16.75390625</v>
      </c>
      <c r="E23" s="12">
        <v>0.88071065989847708</v>
      </c>
      <c r="F23" s="12">
        <v>0.6863636363636364</v>
      </c>
      <c r="G23" s="12">
        <v>7.7747989276139409</v>
      </c>
      <c r="H23" s="12">
        <f t="shared" si="0"/>
        <v>0.60448777111213658</v>
      </c>
      <c r="I23" s="12">
        <f t="shared" si="1"/>
        <v>6.8473482941168458</v>
      </c>
      <c r="J23" s="6">
        <f t="shared" si="2"/>
        <v>5.3363392639532048</v>
      </c>
      <c r="K23" s="12">
        <f t="shared" si="3"/>
        <v>4.6997708745983813</v>
      </c>
      <c r="M23" s="44"/>
      <c r="N23"/>
      <c r="O23"/>
      <c r="P23"/>
      <c r="Q23"/>
      <c r="R23"/>
    </row>
    <row r="24" spans="4:18">
      <c r="D24" s="12">
        <v>16.1551724137931</v>
      </c>
      <c r="E24" s="12">
        <v>0.80494505494505497</v>
      </c>
      <c r="F24" s="12">
        <v>0.82777777777777772</v>
      </c>
      <c r="G24" s="12">
        <v>-7.9012345679012341</v>
      </c>
      <c r="H24" s="12">
        <f t="shared" si="0"/>
        <v>0.66631562881562878</v>
      </c>
      <c r="I24" s="12">
        <f t="shared" si="1"/>
        <v>-6.3600596933930262</v>
      </c>
      <c r="J24" s="6">
        <f t="shared" si="2"/>
        <v>-6.5404663923182431</v>
      </c>
      <c r="K24" s="12">
        <f t="shared" si="3"/>
        <v>-5.2647160795308938</v>
      </c>
      <c r="M24" s="45" t="s">
        <v>78</v>
      </c>
      <c r="N24"/>
      <c r="O24"/>
      <c r="P24"/>
      <c r="Q24"/>
      <c r="R24"/>
    </row>
    <row r="25" spans="4:18">
      <c r="D25" s="12">
        <v>20.598130841121495</v>
      </c>
      <c r="E25" s="12">
        <v>0.86144578313253017</v>
      </c>
      <c r="F25" s="12">
        <v>0.84482758620689657</v>
      </c>
      <c r="G25" s="12">
        <v>15.384615384615385</v>
      </c>
      <c r="H25" s="12">
        <f t="shared" si="0"/>
        <v>0.72777316161196515</v>
      </c>
      <c r="I25" s="12">
        <f t="shared" si="1"/>
        <v>13.253012048192772</v>
      </c>
      <c r="J25" s="6">
        <f t="shared" si="2"/>
        <v>12.997347480106102</v>
      </c>
      <c r="K25" s="12">
        <f t="shared" si="3"/>
        <v>11.196510178645617</v>
      </c>
      <c r="M25" s="44"/>
      <c r="N25"/>
      <c r="O25"/>
      <c r="P25"/>
      <c r="Q25"/>
      <c r="R25"/>
    </row>
    <row r="26" spans="4:18">
      <c r="D26" s="12">
        <v>19.270531400966185</v>
      </c>
      <c r="E26" s="12">
        <v>0.85757575757575766</v>
      </c>
      <c r="F26" s="12">
        <v>0.92024539877300615</v>
      </c>
      <c r="G26" s="12">
        <v>46.861924686192467</v>
      </c>
      <c r="H26" s="12">
        <f t="shared" si="0"/>
        <v>0.78918014500836597</v>
      </c>
      <c r="I26" s="12">
        <f t="shared" si="1"/>
        <v>40.187650564219602</v>
      </c>
      <c r="J26" s="6">
        <f t="shared" si="2"/>
        <v>43.124470570115768</v>
      </c>
      <c r="K26" s="12">
        <f t="shared" si="3"/>
        <v>36.982500519220494</v>
      </c>
      <c r="M26" s="44"/>
      <c r="N26"/>
      <c r="O26"/>
      <c r="P26"/>
      <c r="Q26"/>
      <c r="R26"/>
    </row>
    <row r="27" spans="4:18">
      <c r="D27" s="12">
        <v>16.739999999999998</v>
      </c>
      <c r="E27" s="12">
        <v>0.8112582781456954</v>
      </c>
      <c r="F27" s="12">
        <v>0.97419354838709682</v>
      </c>
      <c r="G27" s="12">
        <v>7.6576576576576576</v>
      </c>
      <c r="H27" s="12">
        <f t="shared" si="0"/>
        <v>0.79032258064516137</v>
      </c>
      <c r="I27" s="12">
        <f t="shared" si="1"/>
        <v>6.2123381659805501</v>
      </c>
      <c r="J27" s="6">
        <f t="shared" si="2"/>
        <v>7.4600406858471375</v>
      </c>
      <c r="K27" s="12">
        <f t="shared" si="3"/>
        <v>6.0520197616971814</v>
      </c>
      <c r="M27" s="46"/>
      <c r="N27"/>
      <c r="O27"/>
      <c r="P27"/>
      <c r="Q27"/>
      <c r="R27"/>
    </row>
    <row r="28" spans="4:18">
      <c r="D28" s="12">
        <v>18.20284109679551</v>
      </c>
      <c r="E28" s="12">
        <v>1.1266188483761705</v>
      </c>
      <c r="F28" s="12">
        <v>0.61426666666666663</v>
      </c>
      <c r="G28" s="12">
        <v>-4.4554455445544559</v>
      </c>
      <c r="H28" s="12">
        <f t="shared" si="0"/>
        <v>0.69204440459586902</v>
      </c>
      <c r="I28" s="12">
        <f t="shared" si="1"/>
        <v>-5.0195889284086812</v>
      </c>
      <c r="J28" s="6">
        <f t="shared" si="2"/>
        <v>-2.736831683168317</v>
      </c>
      <c r="K28" s="12">
        <f t="shared" si="3"/>
        <v>-3.0833661590905059</v>
      </c>
      <c r="M28" s="47" t="s">
        <v>79</v>
      </c>
      <c r="N28"/>
      <c r="O28"/>
      <c r="P28"/>
      <c r="Q28"/>
      <c r="R28"/>
    </row>
    <row r="29" spans="4:18">
      <c r="D29" s="12">
        <v>16.780748663101605</v>
      </c>
      <c r="E29" s="12">
        <v>1.3890410958904109</v>
      </c>
      <c r="F29" s="12">
        <v>0.50616438356164384</v>
      </c>
      <c r="G29" s="12">
        <v>-14.40677966101695</v>
      </c>
      <c r="H29" s="12">
        <f t="shared" si="0"/>
        <v>0.70308313004316003</v>
      </c>
      <c r="I29" s="12">
        <f t="shared" si="1"/>
        <v>-20.011609008590668</v>
      </c>
      <c r="J29" s="6">
        <f t="shared" si="2"/>
        <v>-7.292198746227073</v>
      </c>
      <c r="K29" s="12">
        <f t="shared" si="3"/>
        <v>-10.129163737909932</v>
      </c>
      <c r="M29" s="46"/>
      <c r="N29"/>
      <c r="O29"/>
      <c r="P29"/>
      <c r="Q29"/>
      <c r="R29"/>
    </row>
    <row r="30" spans="4:18">
      <c r="D30" s="12">
        <v>34.591278837178287</v>
      </c>
      <c r="E30" s="12">
        <v>1.3821719735425324</v>
      </c>
      <c r="F30" s="12">
        <v>0.94327586206896552</v>
      </c>
      <c r="G30" s="12">
        <v>45.679012345679013</v>
      </c>
      <c r="H30" s="12">
        <f t="shared" si="0"/>
        <v>1.3037694598708958</v>
      </c>
      <c r="I30" s="12">
        <f t="shared" si="1"/>
        <v>63.136250643300862</v>
      </c>
      <c r="J30" s="6">
        <f t="shared" si="2"/>
        <v>43.08790974882929</v>
      </c>
      <c r="K30" s="12">
        <f t="shared" si="3"/>
        <v>59.554901253361905</v>
      </c>
      <c r="M30" s="47" t="s">
        <v>80</v>
      </c>
      <c r="N30"/>
      <c r="O30"/>
      <c r="P30"/>
      <c r="Q30"/>
      <c r="R30"/>
    </row>
    <row r="31" spans="4:18">
      <c r="D31" s="12">
        <v>16.142506142506143</v>
      </c>
      <c r="E31" s="12">
        <v>0.81242236024844727</v>
      </c>
      <c r="F31" s="12">
        <v>2.0940909090909092</v>
      </c>
      <c r="G31" s="12">
        <v>26.5625</v>
      </c>
      <c r="H31" s="12">
        <f t="shared" si="0"/>
        <v>1.7012862789384531</v>
      </c>
      <c r="I31" s="12">
        <f t="shared" si="1"/>
        <v>21.579968944099381</v>
      </c>
      <c r="J31" s="6">
        <f t="shared" si="2"/>
        <v>55.624289772727273</v>
      </c>
      <c r="K31" s="12">
        <f t="shared" si="3"/>
        <v>45.190416784302663</v>
      </c>
      <c r="M31"/>
      <c r="N31"/>
      <c r="O31"/>
      <c r="P31"/>
      <c r="Q31"/>
      <c r="R31"/>
    </row>
    <row r="32" spans="4:18" ht="18">
      <c r="D32" s="12">
        <v>30.084235860409148</v>
      </c>
      <c r="E32" s="12">
        <v>0.87942794279427927</v>
      </c>
      <c r="F32" s="12">
        <v>1.6472</v>
      </c>
      <c r="G32" s="12">
        <v>45.454545454545453</v>
      </c>
      <c r="H32" s="12">
        <f t="shared" si="0"/>
        <v>1.4485937073707369</v>
      </c>
      <c r="I32" s="12">
        <f t="shared" si="1"/>
        <v>39.973997399739964</v>
      </c>
      <c r="J32" s="6">
        <f t="shared" si="2"/>
        <v>74.872727272727275</v>
      </c>
      <c r="K32" s="12">
        <f t="shared" si="3"/>
        <v>65.845168516851672</v>
      </c>
      <c r="M32" s="40" t="s">
        <v>84</v>
      </c>
      <c r="N32"/>
      <c r="O32"/>
      <c r="P32"/>
      <c r="Q32"/>
      <c r="R32"/>
    </row>
    <row r="33" spans="2:18">
      <c r="M33" s="44"/>
      <c r="N33"/>
      <c r="O33"/>
      <c r="P33"/>
      <c r="Q33"/>
      <c r="R33"/>
    </row>
    <row r="34" spans="2:18">
      <c r="M34" s="45" t="s">
        <v>81</v>
      </c>
      <c r="N34"/>
      <c r="O34"/>
      <c r="P34"/>
      <c r="Q34"/>
      <c r="R34"/>
    </row>
    <row r="35" spans="2:18">
      <c r="M35" s="44"/>
      <c r="N35"/>
      <c r="O35"/>
      <c r="P35"/>
      <c r="Q35"/>
      <c r="R35"/>
    </row>
    <row r="36" spans="2:18">
      <c r="M36" s="45" t="s">
        <v>82</v>
      </c>
      <c r="N36"/>
      <c r="O36"/>
      <c r="P36"/>
      <c r="Q36"/>
      <c r="R36"/>
    </row>
    <row r="37" spans="2:18">
      <c r="M37" s="44"/>
      <c r="N37"/>
      <c r="O37"/>
      <c r="P37"/>
      <c r="Q37"/>
      <c r="R37"/>
    </row>
    <row r="38" spans="2:18" ht="15" thickBot="1">
      <c r="M38" s="45" t="s">
        <v>83</v>
      </c>
      <c r="N38"/>
      <c r="O38"/>
      <c r="P38"/>
      <c r="Q38"/>
      <c r="R38"/>
    </row>
    <row r="39" spans="2:18">
      <c r="B39" s="48"/>
      <c r="C39" s="49"/>
      <c r="D39" s="49"/>
      <c r="E39" s="49"/>
      <c r="F39" s="49"/>
      <c r="G39" s="49"/>
      <c r="H39" s="49"/>
      <c r="I39" s="49"/>
      <c r="J39" s="49"/>
      <c r="K39" s="49"/>
      <c r="L39" s="49"/>
      <c r="M39" s="49"/>
      <c r="N39" s="49"/>
      <c r="O39" s="49"/>
      <c r="P39" s="50"/>
    </row>
    <row r="40" spans="2:18">
      <c r="B40" s="51"/>
      <c r="C40" s="52"/>
      <c r="D40" s="52"/>
      <c r="E40" s="52"/>
      <c r="F40" s="52"/>
      <c r="G40" s="52"/>
      <c r="H40" s="53" t="s">
        <v>86</v>
      </c>
      <c r="I40" s="52"/>
      <c r="J40" s="52"/>
      <c r="K40" s="52"/>
      <c r="L40" s="52"/>
      <c r="M40" s="52"/>
      <c r="N40" s="52"/>
      <c r="O40" s="52"/>
      <c r="P40" s="54"/>
    </row>
    <row r="41" spans="2:18">
      <c r="B41" s="51"/>
      <c r="C41" s="52"/>
      <c r="D41" s="52"/>
      <c r="E41" s="52"/>
      <c r="F41" s="52"/>
      <c r="G41" s="52"/>
      <c r="H41" s="53"/>
      <c r="I41" s="52"/>
      <c r="J41" s="52"/>
      <c r="K41" s="52"/>
      <c r="L41" s="52"/>
      <c r="M41" s="52"/>
      <c r="N41" s="52"/>
      <c r="O41" s="52"/>
      <c r="P41" s="54"/>
    </row>
    <row r="42" spans="2:18">
      <c r="B42" s="51"/>
      <c r="C42" s="52"/>
      <c r="D42" s="52"/>
      <c r="E42" s="52"/>
      <c r="F42" s="52"/>
      <c r="G42" s="52"/>
      <c r="H42" s="53" t="s">
        <v>87</v>
      </c>
      <c r="I42" s="52"/>
      <c r="J42" s="52"/>
      <c r="K42" s="52"/>
      <c r="L42" s="52"/>
      <c r="M42" s="52"/>
      <c r="N42" s="52"/>
      <c r="O42" s="52"/>
      <c r="P42" s="54"/>
    </row>
    <row r="43" spans="2:18">
      <c r="B43" s="51"/>
      <c r="C43" s="52"/>
      <c r="D43" s="52"/>
      <c r="E43" s="52"/>
      <c r="F43" s="52"/>
      <c r="G43" s="52"/>
      <c r="H43" s="53"/>
      <c r="I43" s="52"/>
      <c r="J43" s="52"/>
      <c r="K43" s="52"/>
      <c r="L43" s="52"/>
      <c r="M43" s="52"/>
      <c r="N43" s="52"/>
      <c r="O43" s="52"/>
      <c r="P43" s="54"/>
    </row>
    <row r="44" spans="2:18">
      <c r="B44" s="51"/>
      <c r="C44" s="52"/>
      <c r="D44" s="52"/>
      <c r="E44" s="52"/>
      <c r="F44" s="52"/>
      <c r="G44" s="52"/>
      <c r="H44" s="53" t="s">
        <v>88</v>
      </c>
      <c r="I44" s="52"/>
      <c r="J44" s="52"/>
      <c r="K44" s="52"/>
      <c r="L44" s="52"/>
      <c r="M44" s="52"/>
      <c r="N44" s="52"/>
      <c r="O44" s="52"/>
      <c r="P44" s="54"/>
    </row>
    <row r="45" spans="2:18">
      <c r="B45" s="51"/>
      <c r="C45" s="52"/>
      <c r="D45" s="52"/>
      <c r="E45" s="52"/>
      <c r="F45" s="52"/>
      <c r="G45" s="52"/>
      <c r="H45" s="52"/>
      <c r="I45" s="52"/>
      <c r="J45" s="52"/>
      <c r="K45" s="52"/>
      <c r="L45" s="52"/>
      <c r="M45" s="52"/>
      <c r="N45" s="52"/>
      <c r="O45" s="52"/>
      <c r="P45" s="54"/>
    </row>
    <row r="46" spans="2:18">
      <c r="B46" s="51"/>
      <c r="C46" s="52"/>
      <c r="D46" s="52"/>
      <c r="E46" s="52"/>
      <c r="F46" s="52"/>
      <c r="G46" s="52"/>
      <c r="H46" s="52"/>
      <c r="I46" s="52"/>
      <c r="J46" s="52"/>
      <c r="K46" s="52"/>
      <c r="L46" s="52"/>
      <c r="M46" s="52"/>
      <c r="N46" s="52"/>
      <c r="O46" s="52"/>
      <c r="P46" s="54"/>
    </row>
    <row r="47" spans="2:18">
      <c r="B47" s="51"/>
      <c r="C47" s="52"/>
      <c r="D47" s="52"/>
      <c r="E47" s="52"/>
      <c r="F47" s="52"/>
      <c r="G47" s="52"/>
      <c r="H47" s="52"/>
      <c r="I47" s="52"/>
      <c r="J47" s="52"/>
      <c r="K47" s="52"/>
      <c r="L47" s="52"/>
      <c r="M47" s="52"/>
      <c r="N47" s="52"/>
      <c r="O47" s="52"/>
      <c r="P47" s="54"/>
    </row>
    <row r="48" spans="2:18">
      <c r="B48" s="51"/>
      <c r="C48" s="52"/>
      <c r="D48" s="52"/>
      <c r="E48" s="52"/>
      <c r="F48" s="52"/>
      <c r="G48" s="52"/>
      <c r="H48" s="52"/>
      <c r="I48" s="52"/>
      <c r="J48" s="52"/>
      <c r="K48" s="52"/>
      <c r="L48" s="52"/>
      <c r="M48" s="52"/>
      <c r="N48" s="52"/>
      <c r="O48" s="52"/>
      <c r="P48" s="54"/>
    </row>
    <row r="49" spans="2:16">
      <c r="B49" s="51"/>
      <c r="C49" s="52"/>
      <c r="D49" s="52"/>
      <c r="E49" s="52"/>
      <c r="F49" s="52"/>
      <c r="G49" s="52"/>
      <c r="H49" s="52"/>
      <c r="I49" s="52"/>
      <c r="J49" s="52"/>
      <c r="K49" s="52"/>
      <c r="L49" s="52"/>
      <c r="M49" s="52"/>
      <c r="N49" s="52"/>
      <c r="O49" s="52"/>
      <c r="P49" s="54"/>
    </row>
    <row r="50" spans="2:16">
      <c r="B50" s="51"/>
      <c r="C50" s="52"/>
      <c r="D50" s="52"/>
      <c r="E50" s="52"/>
      <c r="F50" s="52"/>
      <c r="G50" s="52"/>
      <c r="H50" s="52"/>
      <c r="I50" s="52"/>
      <c r="J50" s="52"/>
      <c r="K50" s="52"/>
      <c r="L50" s="52"/>
      <c r="M50" s="52"/>
      <c r="N50" s="52"/>
      <c r="O50" s="52"/>
      <c r="P50" s="54"/>
    </row>
    <row r="51" spans="2:16">
      <c r="B51" s="51"/>
      <c r="C51" s="52"/>
      <c r="D51" s="52"/>
      <c r="E51" s="52"/>
      <c r="F51" s="52"/>
      <c r="G51" s="52"/>
      <c r="H51" s="52"/>
      <c r="I51" s="52"/>
      <c r="J51" s="52"/>
      <c r="K51" s="52"/>
      <c r="L51" s="52"/>
      <c r="M51" s="52"/>
      <c r="N51" s="52"/>
      <c r="O51" s="52"/>
      <c r="P51" s="54"/>
    </row>
    <row r="52" spans="2:16" ht="15" thickBot="1">
      <c r="B52" s="55"/>
      <c r="C52" s="56"/>
      <c r="D52" s="56"/>
      <c r="E52" s="56"/>
      <c r="F52" s="56"/>
      <c r="G52" s="56"/>
      <c r="H52" s="56"/>
      <c r="I52" s="56"/>
      <c r="J52" s="56"/>
      <c r="K52" s="56"/>
      <c r="L52" s="56"/>
      <c r="M52" s="56"/>
      <c r="N52" s="56"/>
      <c r="O52" s="56"/>
      <c r="P52" s="57"/>
    </row>
    <row r="53" spans="2:16" ht="15" thickBot="1"/>
    <row r="54" spans="2:16">
      <c r="B54" s="48"/>
      <c r="C54" s="49"/>
      <c r="D54" s="49"/>
      <c r="E54" s="49"/>
      <c r="F54" s="49"/>
      <c r="G54" s="49"/>
      <c r="H54" s="49"/>
      <c r="I54" s="58" t="s">
        <v>89</v>
      </c>
      <c r="J54" s="49"/>
      <c r="K54" s="49"/>
      <c r="L54" s="49"/>
      <c r="M54" s="49"/>
      <c r="N54" s="49"/>
      <c r="O54" s="49"/>
      <c r="P54" s="50"/>
    </row>
    <row r="55" spans="2:16">
      <c r="B55" s="51"/>
      <c r="C55" s="52"/>
      <c r="D55" s="52"/>
      <c r="E55" s="52"/>
      <c r="F55" s="52"/>
      <c r="G55" s="52"/>
      <c r="H55" s="52"/>
      <c r="I55" s="59"/>
      <c r="J55" s="52"/>
      <c r="K55" s="52"/>
      <c r="L55" s="52"/>
      <c r="M55" s="52"/>
      <c r="N55" s="52"/>
      <c r="O55" s="52"/>
      <c r="P55" s="54"/>
    </row>
    <row r="56" spans="2:16">
      <c r="B56" s="51"/>
      <c r="C56" s="52"/>
      <c r="D56" s="52"/>
      <c r="E56" s="52"/>
      <c r="F56" s="52"/>
      <c r="G56" s="52"/>
      <c r="H56" s="52"/>
      <c r="I56" s="59" t="s">
        <v>90</v>
      </c>
      <c r="J56" s="52"/>
      <c r="K56" s="52"/>
      <c r="L56" s="52"/>
      <c r="M56" s="52"/>
      <c r="N56" s="52"/>
      <c r="O56" s="52"/>
      <c r="P56" s="54"/>
    </row>
    <row r="57" spans="2:16">
      <c r="B57" s="51"/>
      <c r="C57" s="52"/>
      <c r="D57" s="52"/>
      <c r="E57" s="52"/>
      <c r="F57" s="52"/>
      <c r="G57" s="52"/>
      <c r="H57" s="52"/>
      <c r="I57" s="59"/>
      <c r="J57" s="52"/>
      <c r="K57" s="52"/>
      <c r="L57" s="52"/>
      <c r="M57" s="52"/>
      <c r="N57" s="52"/>
      <c r="O57" s="52"/>
      <c r="P57" s="54"/>
    </row>
    <row r="58" spans="2:16">
      <c r="B58" s="51"/>
      <c r="C58" s="52"/>
      <c r="D58" s="52"/>
      <c r="E58" s="52"/>
      <c r="F58" s="52"/>
      <c r="G58" s="52"/>
      <c r="H58" s="52"/>
      <c r="I58" s="59" t="s">
        <v>91</v>
      </c>
      <c r="J58" s="52"/>
      <c r="K58" s="52"/>
      <c r="L58" s="52"/>
      <c r="M58" s="52"/>
      <c r="N58" s="52"/>
      <c r="O58" s="52"/>
      <c r="P58" s="54"/>
    </row>
    <row r="59" spans="2:16">
      <c r="B59" s="51"/>
      <c r="C59" s="52"/>
      <c r="D59" s="52"/>
      <c r="E59" s="52"/>
      <c r="F59" s="52"/>
      <c r="G59" s="52"/>
      <c r="H59" s="52"/>
      <c r="I59" s="53"/>
      <c r="J59" s="52"/>
      <c r="K59" s="52"/>
      <c r="L59" s="52"/>
      <c r="M59" s="52"/>
      <c r="N59" s="52"/>
      <c r="O59" s="52"/>
      <c r="P59" s="54"/>
    </row>
    <row r="60" spans="2:16">
      <c r="B60" s="51"/>
      <c r="C60" s="52"/>
      <c r="D60" s="52"/>
      <c r="E60" s="52"/>
      <c r="F60" s="52"/>
      <c r="G60" s="52"/>
      <c r="H60" s="52"/>
      <c r="I60" s="60" t="s">
        <v>92</v>
      </c>
      <c r="J60" s="52"/>
      <c r="K60" s="52"/>
      <c r="L60" s="52"/>
      <c r="M60" s="52"/>
      <c r="N60" s="52"/>
      <c r="O60" s="52"/>
      <c r="P60" s="54"/>
    </row>
    <row r="61" spans="2:16">
      <c r="B61" s="51"/>
      <c r="C61" s="52"/>
      <c r="D61" s="52"/>
      <c r="E61" s="52"/>
      <c r="F61" s="52"/>
      <c r="G61" s="52"/>
      <c r="H61" s="52"/>
      <c r="I61" s="53"/>
      <c r="J61" s="52"/>
      <c r="K61" s="52"/>
      <c r="L61" s="52"/>
      <c r="M61" s="52"/>
      <c r="N61" s="52"/>
      <c r="O61" s="52"/>
      <c r="P61" s="54"/>
    </row>
    <row r="62" spans="2:16">
      <c r="B62" s="51"/>
      <c r="C62" s="52"/>
      <c r="D62" s="52"/>
      <c r="E62" s="52"/>
      <c r="F62" s="52"/>
      <c r="G62" s="52"/>
      <c r="H62" s="52"/>
      <c r="I62" s="60" t="s">
        <v>93</v>
      </c>
      <c r="J62" s="52"/>
      <c r="K62" s="52"/>
      <c r="L62" s="52"/>
      <c r="M62" s="52"/>
      <c r="N62" s="52"/>
      <c r="O62" s="52"/>
      <c r="P62" s="54"/>
    </row>
    <row r="63" spans="2:16">
      <c r="B63" s="51"/>
      <c r="C63" s="52"/>
      <c r="D63" s="52"/>
      <c r="E63" s="52"/>
      <c r="F63" s="52"/>
      <c r="G63" s="52"/>
      <c r="H63" s="52"/>
      <c r="I63" s="52"/>
      <c r="J63" s="52"/>
      <c r="K63" s="52"/>
      <c r="L63" s="52"/>
      <c r="M63" s="52"/>
      <c r="N63" s="52"/>
      <c r="O63" s="52"/>
      <c r="P63" s="54"/>
    </row>
    <row r="64" spans="2:16">
      <c r="B64" s="51"/>
      <c r="C64" s="52"/>
      <c r="D64" s="52"/>
      <c r="E64" s="52"/>
      <c r="F64" s="52"/>
      <c r="G64" s="52"/>
      <c r="H64" s="52"/>
      <c r="I64" s="52"/>
      <c r="J64" s="52"/>
      <c r="K64" s="52"/>
      <c r="L64" s="52"/>
      <c r="M64" s="52"/>
      <c r="N64" s="52"/>
      <c r="O64" s="52"/>
      <c r="P64" s="54"/>
    </row>
    <row r="65" spans="2:16">
      <c r="B65" s="51"/>
      <c r="C65" s="52"/>
      <c r="D65" s="52"/>
      <c r="E65" s="52"/>
      <c r="F65" s="52"/>
      <c r="G65" s="52"/>
      <c r="H65" s="52"/>
      <c r="I65" s="52"/>
      <c r="J65" s="52"/>
      <c r="K65" s="52"/>
      <c r="L65" s="52"/>
      <c r="M65" s="52"/>
      <c r="N65" s="52"/>
      <c r="O65" s="52"/>
      <c r="P65" s="54"/>
    </row>
    <row r="66" spans="2:16">
      <c r="B66" s="51"/>
      <c r="C66" s="52"/>
      <c r="D66" s="52"/>
      <c r="E66" s="52"/>
      <c r="F66" s="52"/>
      <c r="G66" s="52"/>
      <c r="H66" s="52"/>
      <c r="I66" s="52"/>
      <c r="J66" s="52"/>
      <c r="K66" s="52"/>
      <c r="L66" s="52"/>
      <c r="M66" s="52"/>
      <c r="N66" s="52"/>
      <c r="O66" s="52"/>
      <c r="P66" s="54"/>
    </row>
    <row r="67" spans="2:16" ht="15" thickBot="1">
      <c r="B67" s="55"/>
      <c r="C67" s="56"/>
      <c r="D67" s="56"/>
      <c r="E67" s="56"/>
      <c r="F67" s="56"/>
      <c r="G67" s="56"/>
      <c r="H67" s="56"/>
      <c r="I67" s="56"/>
      <c r="J67" s="56"/>
      <c r="K67" s="56"/>
      <c r="L67" s="56"/>
      <c r="M67" s="56"/>
      <c r="N67" s="56"/>
      <c r="O67" s="56"/>
      <c r="P67" s="57"/>
    </row>
    <row r="68" spans="2:16" ht="15" thickBot="1"/>
    <row r="69" spans="2:16">
      <c r="B69" s="48"/>
      <c r="C69" s="49"/>
      <c r="D69" s="49"/>
      <c r="E69" s="49"/>
      <c r="F69" s="49"/>
      <c r="G69" s="49"/>
      <c r="H69" s="49"/>
      <c r="I69" s="49"/>
      <c r="J69" s="49"/>
      <c r="K69" s="49"/>
      <c r="L69" s="49"/>
      <c r="M69" s="49"/>
      <c r="N69" s="49"/>
      <c r="O69" s="49"/>
      <c r="P69" s="50"/>
    </row>
    <row r="70" spans="2:16">
      <c r="B70" s="51"/>
      <c r="C70" s="52"/>
      <c r="D70" s="52"/>
      <c r="E70" s="52"/>
      <c r="F70" s="52"/>
      <c r="G70" s="52"/>
      <c r="H70" s="52"/>
      <c r="I70" s="61" t="s">
        <v>94</v>
      </c>
      <c r="J70" s="52"/>
      <c r="K70" s="52"/>
      <c r="L70" s="52"/>
      <c r="M70" s="52"/>
      <c r="N70" s="52"/>
      <c r="O70" s="52"/>
      <c r="P70" s="54"/>
    </row>
    <row r="71" spans="2:16">
      <c r="B71" s="51"/>
      <c r="C71" s="52"/>
      <c r="D71" s="52"/>
      <c r="E71" s="52"/>
      <c r="F71" s="52"/>
      <c r="G71" s="52"/>
      <c r="H71" s="52"/>
      <c r="I71" s="59"/>
      <c r="J71" s="52"/>
      <c r="K71" s="52"/>
      <c r="L71" s="52"/>
      <c r="M71" s="52"/>
      <c r="N71" s="52"/>
      <c r="O71" s="52"/>
      <c r="P71" s="54"/>
    </row>
    <row r="72" spans="2:16">
      <c r="B72" s="51"/>
      <c r="C72" s="52"/>
      <c r="D72" s="52"/>
      <c r="E72" s="52"/>
      <c r="F72" s="52"/>
      <c r="G72" s="52"/>
      <c r="H72" s="52"/>
      <c r="I72" s="61" t="s">
        <v>95</v>
      </c>
      <c r="J72" s="52"/>
      <c r="K72" s="52"/>
      <c r="L72" s="52"/>
      <c r="M72" s="52"/>
      <c r="N72" s="52"/>
      <c r="O72" s="52"/>
      <c r="P72" s="54"/>
    </row>
    <row r="73" spans="2:16">
      <c r="B73" s="51"/>
      <c r="C73" s="52"/>
      <c r="D73" s="52"/>
      <c r="E73" s="52"/>
      <c r="F73" s="52"/>
      <c r="G73" s="52"/>
      <c r="H73" s="52"/>
      <c r="I73" s="59"/>
      <c r="J73" s="52"/>
      <c r="K73" s="52"/>
      <c r="L73" s="52"/>
      <c r="M73" s="52"/>
      <c r="N73" s="52"/>
      <c r="O73" s="52"/>
      <c r="P73" s="54"/>
    </row>
    <row r="74" spans="2:16">
      <c r="B74" s="51"/>
      <c r="C74" s="52"/>
      <c r="D74" s="52"/>
      <c r="E74" s="52"/>
      <c r="F74" s="52"/>
      <c r="G74" s="52"/>
      <c r="H74" s="52"/>
      <c r="I74" s="61" t="s">
        <v>96</v>
      </c>
      <c r="J74" s="52"/>
      <c r="K74" s="52"/>
      <c r="L74" s="52"/>
      <c r="M74" s="52"/>
      <c r="N74" s="52"/>
      <c r="O74" s="52"/>
      <c r="P74" s="54"/>
    </row>
    <row r="75" spans="2:16">
      <c r="B75" s="51"/>
      <c r="C75" s="52"/>
      <c r="D75" s="52"/>
      <c r="E75" s="52"/>
      <c r="F75" s="52"/>
      <c r="G75" s="52"/>
      <c r="H75" s="52"/>
      <c r="I75" s="52"/>
      <c r="J75" s="52"/>
      <c r="K75" s="52"/>
      <c r="L75" s="52"/>
      <c r="M75" s="52"/>
      <c r="N75" s="52"/>
      <c r="O75" s="52"/>
      <c r="P75" s="54"/>
    </row>
    <row r="76" spans="2:16">
      <c r="B76" s="51"/>
      <c r="C76" s="52"/>
      <c r="D76" s="52"/>
      <c r="E76" s="52"/>
      <c r="F76" s="52"/>
      <c r="G76" s="52"/>
      <c r="H76" s="52"/>
      <c r="I76" s="52"/>
      <c r="J76" s="52"/>
      <c r="K76" s="52"/>
      <c r="L76" s="52"/>
      <c r="M76" s="52"/>
      <c r="N76" s="52"/>
      <c r="O76" s="52"/>
      <c r="P76" s="54"/>
    </row>
    <row r="77" spans="2:16">
      <c r="B77" s="51"/>
      <c r="C77" s="52"/>
      <c r="D77" s="52"/>
      <c r="E77" s="52"/>
      <c r="F77" s="52"/>
      <c r="G77" s="52"/>
      <c r="H77" s="52"/>
      <c r="I77" s="52"/>
      <c r="J77" s="52"/>
      <c r="K77" s="52"/>
      <c r="L77" s="52"/>
      <c r="M77" s="52"/>
      <c r="N77" s="52"/>
      <c r="O77" s="52"/>
      <c r="P77" s="54"/>
    </row>
    <row r="78" spans="2:16">
      <c r="B78" s="51"/>
      <c r="C78" s="52"/>
      <c r="D78" s="52"/>
      <c r="E78" s="52"/>
      <c r="F78" s="52"/>
      <c r="G78" s="52"/>
      <c r="H78" s="52"/>
      <c r="I78" s="52"/>
      <c r="J78" s="52"/>
      <c r="K78" s="52"/>
      <c r="L78" s="52"/>
      <c r="M78" s="52"/>
      <c r="N78" s="52"/>
      <c r="O78" s="52"/>
      <c r="P78" s="54"/>
    </row>
    <row r="79" spans="2:16">
      <c r="B79" s="51"/>
      <c r="C79" s="52"/>
      <c r="D79" s="52"/>
      <c r="E79" s="52"/>
      <c r="F79" s="52"/>
      <c r="G79" s="52"/>
      <c r="H79" s="52"/>
      <c r="I79" s="52"/>
      <c r="J79" s="52"/>
      <c r="K79" s="52"/>
      <c r="L79" s="52"/>
      <c r="M79" s="52"/>
      <c r="N79" s="52"/>
      <c r="O79" s="52"/>
      <c r="P79" s="54"/>
    </row>
    <row r="80" spans="2:16">
      <c r="B80" s="51"/>
      <c r="C80" s="52"/>
      <c r="D80" s="52"/>
      <c r="E80" s="52"/>
      <c r="F80" s="52"/>
      <c r="G80" s="52"/>
      <c r="H80" s="52"/>
      <c r="I80" s="52"/>
      <c r="J80" s="52"/>
      <c r="K80" s="52"/>
      <c r="L80" s="52"/>
      <c r="M80" s="52"/>
      <c r="N80" s="52"/>
      <c r="O80" s="52"/>
      <c r="P80" s="54"/>
    </row>
    <row r="81" spans="2:19">
      <c r="B81" s="51"/>
      <c r="C81" s="52"/>
      <c r="D81" s="52"/>
      <c r="E81" s="52"/>
      <c r="F81" s="52"/>
      <c r="G81" s="52"/>
      <c r="H81" s="52"/>
      <c r="I81" s="52"/>
      <c r="J81" s="52"/>
      <c r="K81" s="52"/>
      <c r="L81" s="52"/>
      <c r="M81" s="52"/>
      <c r="N81" s="52"/>
      <c r="O81" s="52"/>
      <c r="P81" s="54"/>
    </row>
    <row r="82" spans="2:19">
      <c r="B82" s="51"/>
      <c r="C82" s="52"/>
      <c r="D82" s="52"/>
      <c r="E82" s="52"/>
      <c r="F82" s="52"/>
      <c r="G82" s="52"/>
      <c r="H82" s="52"/>
      <c r="I82" s="52"/>
      <c r="J82" s="52"/>
      <c r="K82" s="52"/>
      <c r="L82" s="52"/>
      <c r="M82" s="52"/>
      <c r="N82" s="52"/>
      <c r="O82" s="52"/>
      <c r="P82" s="54"/>
    </row>
    <row r="83" spans="2:19" ht="15" thickBot="1">
      <c r="B83" s="55"/>
      <c r="C83" s="56"/>
      <c r="D83" s="56"/>
      <c r="E83" s="56"/>
      <c r="F83" s="56"/>
      <c r="G83" s="56"/>
      <c r="H83" s="56"/>
      <c r="I83" s="56"/>
      <c r="J83" s="56"/>
      <c r="K83" s="56"/>
      <c r="L83" s="56"/>
      <c r="M83" s="56"/>
      <c r="N83" s="56"/>
      <c r="O83" s="56"/>
      <c r="P83" s="57"/>
    </row>
    <row r="84" spans="2:19" ht="15" thickBot="1"/>
    <row r="85" spans="2:19">
      <c r="B85" s="48"/>
      <c r="C85" s="49"/>
      <c r="D85" s="49"/>
      <c r="E85" s="49"/>
      <c r="F85" s="49"/>
      <c r="G85" s="49"/>
      <c r="H85" s="49"/>
      <c r="I85" s="49"/>
      <c r="J85" s="49"/>
      <c r="K85" s="49"/>
      <c r="L85" s="49"/>
      <c r="M85" s="49"/>
      <c r="N85" s="49"/>
      <c r="O85" s="49"/>
      <c r="P85" s="49"/>
      <c r="Q85" s="49"/>
      <c r="R85" s="49"/>
      <c r="S85" s="50"/>
    </row>
    <row r="86" spans="2:19">
      <c r="B86" s="51"/>
      <c r="C86" s="52"/>
      <c r="D86" s="52"/>
      <c r="E86" s="52"/>
      <c r="F86" s="52"/>
      <c r="G86" s="52"/>
      <c r="H86" s="52"/>
      <c r="I86" s="60" t="s">
        <v>97</v>
      </c>
      <c r="J86" s="52"/>
      <c r="K86" s="52"/>
      <c r="L86" s="52"/>
      <c r="M86" s="52"/>
      <c r="N86" s="52"/>
      <c r="O86" s="52"/>
      <c r="P86" s="52"/>
      <c r="Q86" s="52"/>
      <c r="R86" s="52"/>
      <c r="S86" s="54"/>
    </row>
    <row r="87" spans="2:19">
      <c r="B87" s="51"/>
      <c r="C87" s="52"/>
      <c r="D87" s="52"/>
      <c r="E87" s="52"/>
      <c r="F87" s="52"/>
      <c r="G87" s="52"/>
      <c r="H87" s="52"/>
      <c r="I87" s="53"/>
      <c r="J87" s="52"/>
      <c r="K87" s="52"/>
      <c r="L87" s="52"/>
      <c r="M87" s="52"/>
      <c r="N87" s="52"/>
      <c r="O87" s="52"/>
      <c r="P87" s="52"/>
      <c r="Q87" s="52"/>
      <c r="R87" s="52"/>
      <c r="S87" s="54"/>
    </row>
    <row r="88" spans="2:19">
      <c r="B88" s="51"/>
      <c r="C88" s="52"/>
      <c r="D88" s="52"/>
      <c r="E88" s="52"/>
      <c r="F88" s="52"/>
      <c r="G88" s="52"/>
      <c r="H88" s="52"/>
      <c r="I88" s="60" t="s">
        <v>98</v>
      </c>
      <c r="J88" s="52"/>
      <c r="K88" s="52"/>
      <c r="L88" s="52"/>
      <c r="M88" s="52"/>
      <c r="N88" s="52"/>
      <c r="O88" s="52"/>
      <c r="P88" s="52"/>
      <c r="Q88" s="52"/>
      <c r="R88" s="52"/>
      <c r="S88" s="54"/>
    </row>
    <row r="89" spans="2:19">
      <c r="B89" s="51"/>
      <c r="C89" s="52"/>
      <c r="D89" s="52"/>
      <c r="E89" s="52"/>
      <c r="F89" s="52"/>
      <c r="G89" s="52"/>
      <c r="H89" s="52"/>
      <c r="I89" s="53"/>
      <c r="J89" s="52"/>
      <c r="K89" s="52"/>
      <c r="L89" s="52"/>
      <c r="M89" s="52"/>
      <c r="N89" s="52"/>
      <c r="O89" s="52"/>
      <c r="P89" s="52"/>
      <c r="Q89" s="52"/>
      <c r="R89" s="52"/>
      <c r="S89" s="54"/>
    </row>
    <row r="90" spans="2:19">
      <c r="B90" s="51"/>
      <c r="C90" s="52"/>
      <c r="D90" s="52"/>
      <c r="E90" s="52"/>
      <c r="F90" s="52"/>
      <c r="G90" s="52"/>
      <c r="H90" s="52"/>
      <c r="I90" s="60" t="s">
        <v>99</v>
      </c>
      <c r="J90" s="52"/>
      <c r="K90" s="52"/>
      <c r="L90" s="52"/>
      <c r="M90" s="52"/>
      <c r="N90" s="52"/>
      <c r="O90" s="52"/>
      <c r="P90" s="52"/>
      <c r="Q90" s="52"/>
      <c r="R90" s="52"/>
      <c r="S90" s="54"/>
    </row>
    <row r="91" spans="2:19">
      <c r="B91" s="51"/>
      <c r="C91" s="52"/>
      <c r="D91" s="52"/>
      <c r="E91" s="52"/>
      <c r="F91" s="52"/>
      <c r="G91" s="52"/>
      <c r="H91" s="52"/>
      <c r="I91" s="53"/>
      <c r="J91" s="52"/>
      <c r="K91" s="52"/>
      <c r="L91" s="52"/>
      <c r="M91" s="52"/>
      <c r="N91" s="52"/>
      <c r="O91" s="52"/>
      <c r="P91" s="52"/>
      <c r="Q91" s="52"/>
      <c r="R91" s="52"/>
      <c r="S91" s="54"/>
    </row>
    <row r="92" spans="2:19">
      <c r="B92" s="51"/>
      <c r="C92" s="52"/>
      <c r="D92" s="52"/>
      <c r="E92" s="52"/>
      <c r="F92" s="52"/>
      <c r="G92" s="52"/>
      <c r="H92" s="52"/>
      <c r="I92" s="60" t="s">
        <v>100</v>
      </c>
      <c r="J92" s="52"/>
      <c r="K92" s="52"/>
      <c r="L92" s="52"/>
      <c r="M92" s="52"/>
      <c r="N92" s="52"/>
      <c r="O92" s="52"/>
      <c r="P92" s="52"/>
      <c r="Q92" s="52"/>
      <c r="R92" s="52"/>
      <c r="S92" s="54"/>
    </row>
    <row r="93" spans="2:19">
      <c r="B93" s="51"/>
      <c r="C93" s="52"/>
      <c r="D93" s="52"/>
      <c r="E93" s="52"/>
      <c r="F93" s="52"/>
      <c r="G93" s="52"/>
      <c r="H93" s="52"/>
      <c r="I93" s="52"/>
      <c r="J93" s="52"/>
      <c r="K93" s="52"/>
      <c r="L93" s="52"/>
      <c r="M93" s="52"/>
      <c r="N93" s="52"/>
      <c r="O93" s="52"/>
      <c r="P93" s="52"/>
      <c r="Q93" s="52"/>
      <c r="R93" s="52"/>
      <c r="S93" s="54"/>
    </row>
    <row r="94" spans="2:19">
      <c r="B94" s="51"/>
      <c r="C94" s="52"/>
      <c r="D94" s="52"/>
      <c r="E94" s="52"/>
      <c r="F94" s="52"/>
      <c r="G94" s="52"/>
      <c r="H94" s="52"/>
      <c r="I94" s="52"/>
      <c r="J94" s="52"/>
      <c r="K94" s="52"/>
      <c r="L94" s="52"/>
      <c r="M94" s="52"/>
      <c r="N94" s="52"/>
      <c r="O94" s="52"/>
      <c r="P94" s="52"/>
      <c r="Q94" s="52"/>
      <c r="R94" s="52"/>
      <c r="S94" s="54"/>
    </row>
    <row r="95" spans="2:19">
      <c r="B95" s="51"/>
      <c r="C95" s="52"/>
      <c r="D95" s="52"/>
      <c r="E95" s="52"/>
      <c r="F95" s="52"/>
      <c r="G95" s="52"/>
      <c r="H95" s="52"/>
      <c r="I95" s="52"/>
      <c r="J95" s="52"/>
      <c r="K95" s="52"/>
      <c r="L95" s="52"/>
      <c r="M95" s="52"/>
      <c r="N95" s="52"/>
      <c r="O95" s="52"/>
      <c r="P95" s="52"/>
      <c r="Q95" s="52"/>
      <c r="R95" s="52"/>
      <c r="S95" s="54"/>
    </row>
    <row r="96" spans="2:19">
      <c r="B96" s="51"/>
      <c r="C96" s="52"/>
      <c r="D96" s="52"/>
      <c r="E96" s="52"/>
      <c r="F96" s="52"/>
      <c r="G96" s="52"/>
      <c r="H96" s="52"/>
      <c r="I96" s="52"/>
      <c r="J96" s="52"/>
      <c r="K96" s="52"/>
      <c r="L96" s="52"/>
      <c r="M96" s="52"/>
      <c r="N96" s="52"/>
      <c r="O96" s="52"/>
      <c r="P96" s="52"/>
      <c r="Q96" s="52"/>
      <c r="R96" s="52"/>
      <c r="S96" s="54"/>
    </row>
    <row r="97" spans="2:19">
      <c r="B97" s="51"/>
      <c r="C97" s="52"/>
      <c r="D97" s="52"/>
      <c r="E97" s="52"/>
      <c r="F97" s="52"/>
      <c r="G97" s="52"/>
      <c r="H97" s="52"/>
      <c r="I97" s="52"/>
      <c r="J97" s="52"/>
      <c r="K97" s="52"/>
      <c r="L97" s="52"/>
      <c r="M97" s="52"/>
      <c r="N97" s="52"/>
      <c r="O97" s="52"/>
      <c r="P97" s="52"/>
      <c r="Q97" s="52"/>
      <c r="R97" s="52"/>
      <c r="S97" s="54"/>
    </row>
    <row r="98" spans="2:19">
      <c r="B98" s="51"/>
      <c r="C98" s="52"/>
      <c r="D98" s="52"/>
      <c r="E98" s="52"/>
      <c r="F98" s="52"/>
      <c r="G98" s="52"/>
      <c r="H98" s="52"/>
      <c r="I98" s="52"/>
      <c r="J98" s="52"/>
      <c r="K98" s="52"/>
      <c r="L98" s="52"/>
      <c r="M98" s="52"/>
      <c r="N98" s="52"/>
      <c r="O98" s="52"/>
      <c r="P98" s="52"/>
      <c r="Q98" s="52"/>
      <c r="R98" s="52"/>
      <c r="S98" s="54"/>
    </row>
    <row r="99" spans="2:19" ht="15" thickBot="1">
      <c r="B99" s="55"/>
      <c r="C99" s="56"/>
      <c r="D99" s="56"/>
      <c r="E99" s="56"/>
      <c r="F99" s="56"/>
      <c r="G99" s="56"/>
      <c r="H99" s="56"/>
      <c r="I99" s="56"/>
      <c r="J99" s="56"/>
      <c r="K99" s="56"/>
      <c r="L99" s="56"/>
      <c r="M99" s="56"/>
      <c r="N99" s="56"/>
      <c r="O99" s="56"/>
      <c r="P99" s="56"/>
      <c r="Q99" s="56"/>
      <c r="R99" s="56"/>
      <c r="S99" s="57"/>
    </row>
    <row r="100" spans="2:19" ht="15" thickBot="1"/>
    <row r="101" spans="2:19">
      <c r="B101" s="48"/>
      <c r="C101" s="49"/>
      <c r="D101" s="49"/>
      <c r="E101" s="49"/>
      <c r="F101" s="49"/>
      <c r="G101" s="49"/>
      <c r="H101" s="49"/>
      <c r="I101" s="49"/>
      <c r="J101" s="49"/>
      <c r="K101" s="49"/>
      <c r="L101" s="49"/>
      <c r="M101" s="49"/>
      <c r="N101" s="49"/>
      <c r="O101" s="49"/>
      <c r="P101" s="49"/>
      <c r="Q101" s="49"/>
      <c r="R101" s="49"/>
      <c r="S101" s="50"/>
    </row>
    <row r="102" spans="2:19">
      <c r="B102" s="51"/>
      <c r="C102" s="52"/>
      <c r="D102" s="52"/>
      <c r="E102" s="52"/>
      <c r="F102" s="52"/>
      <c r="G102" s="52"/>
      <c r="H102" s="52"/>
      <c r="I102" s="60" t="s">
        <v>101</v>
      </c>
      <c r="J102" s="52"/>
      <c r="K102" s="52"/>
      <c r="L102" s="52"/>
      <c r="M102" s="52"/>
      <c r="N102" s="52"/>
      <c r="O102" s="52"/>
      <c r="P102" s="52"/>
      <c r="Q102" s="52"/>
      <c r="R102" s="52"/>
      <c r="S102" s="54"/>
    </row>
    <row r="103" spans="2:19">
      <c r="B103" s="51"/>
      <c r="C103" s="52"/>
      <c r="D103" s="52"/>
      <c r="E103" s="52"/>
      <c r="F103" s="52"/>
      <c r="G103" s="52"/>
      <c r="H103" s="52"/>
      <c r="I103" s="53"/>
      <c r="J103" s="52"/>
      <c r="K103" s="52"/>
      <c r="L103" s="52"/>
      <c r="M103" s="52"/>
      <c r="N103" s="52"/>
      <c r="O103" s="52"/>
      <c r="P103" s="52"/>
      <c r="Q103" s="52"/>
      <c r="R103" s="52"/>
      <c r="S103" s="54"/>
    </row>
    <row r="104" spans="2:19">
      <c r="B104" s="51"/>
      <c r="C104" s="52"/>
      <c r="D104" s="52"/>
      <c r="E104" s="52"/>
      <c r="F104" s="52"/>
      <c r="G104" s="52"/>
      <c r="H104" s="52"/>
      <c r="I104" s="60" t="s">
        <v>102</v>
      </c>
      <c r="J104" s="52"/>
      <c r="K104" s="52"/>
      <c r="L104" s="52"/>
      <c r="M104" s="52"/>
      <c r="N104" s="52"/>
      <c r="O104" s="52"/>
      <c r="P104" s="52"/>
      <c r="Q104" s="52"/>
      <c r="R104" s="52"/>
      <c r="S104" s="54"/>
    </row>
    <row r="105" spans="2:19">
      <c r="B105" s="51"/>
      <c r="C105" s="52"/>
      <c r="D105" s="52"/>
      <c r="E105" s="52"/>
      <c r="F105" s="52"/>
      <c r="G105" s="52"/>
      <c r="H105" s="52"/>
      <c r="I105" s="53"/>
      <c r="J105" s="52"/>
      <c r="K105" s="52"/>
      <c r="L105" s="52"/>
      <c r="M105" s="52"/>
      <c r="N105" s="52"/>
      <c r="O105" s="52"/>
      <c r="P105" s="52"/>
      <c r="Q105" s="52"/>
      <c r="R105" s="52"/>
      <c r="S105" s="54"/>
    </row>
    <row r="106" spans="2:19">
      <c r="B106" s="51"/>
      <c r="C106" s="52"/>
      <c r="D106" s="52"/>
      <c r="E106" s="52"/>
      <c r="F106" s="52"/>
      <c r="G106" s="52"/>
      <c r="H106" s="52"/>
      <c r="I106" s="60" t="s">
        <v>103</v>
      </c>
      <c r="J106" s="52"/>
      <c r="K106" s="52"/>
      <c r="L106" s="52"/>
      <c r="M106" s="52"/>
      <c r="N106" s="52"/>
      <c r="O106" s="52"/>
      <c r="P106" s="52"/>
      <c r="Q106" s="52"/>
      <c r="R106" s="52"/>
      <c r="S106" s="54"/>
    </row>
    <row r="107" spans="2:19">
      <c r="B107" s="51"/>
      <c r="C107" s="52"/>
      <c r="D107" s="52"/>
      <c r="E107" s="52"/>
      <c r="F107" s="52"/>
      <c r="G107" s="52"/>
      <c r="H107" s="52"/>
      <c r="I107" s="52"/>
      <c r="J107" s="52"/>
      <c r="K107" s="52"/>
      <c r="L107" s="52"/>
      <c r="M107" s="52"/>
      <c r="N107" s="52"/>
      <c r="O107" s="52"/>
      <c r="P107" s="52"/>
      <c r="Q107" s="52"/>
      <c r="R107" s="52"/>
      <c r="S107" s="54"/>
    </row>
    <row r="108" spans="2:19">
      <c r="B108" s="51"/>
      <c r="C108" s="52"/>
      <c r="D108" s="52"/>
      <c r="E108" s="52"/>
      <c r="F108" s="52"/>
      <c r="G108" s="52"/>
      <c r="H108" s="52"/>
      <c r="I108" s="52"/>
      <c r="J108" s="52"/>
      <c r="K108" s="52"/>
      <c r="L108" s="52"/>
      <c r="M108" s="52"/>
      <c r="N108" s="52"/>
      <c r="O108" s="52"/>
      <c r="P108" s="52"/>
      <c r="Q108" s="52"/>
      <c r="R108" s="52"/>
      <c r="S108" s="54"/>
    </row>
    <row r="109" spans="2:19">
      <c r="B109" s="51"/>
      <c r="C109" s="52"/>
      <c r="D109" s="52"/>
      <c r="E109" s="52"/>
      <c r="F109" s="52"/>
      <c r="G109" s="52"/>
      <c r="H109" s="52"/>
      <c r="I109" s="52"/>
      <c r="J109" s="52"/>
      <c r="K109" s="52"/>
      <c r="L109" s="52"/>
      <c r="M109" s="52"/>
      <c r="N109" s="52"/>
      <c r="O109" s="52"/>
      <c r="P109" s="52"/>
      <c r="Q109" s="52"/>
      <c r="R109" s="52"/>
      <c r="S109" s="54"/>
    </row>
    <row r="110" spans="2:19">
      <c r="B110" s="51"/>
      <c r="C110" s="52"/>
      <c r="D110" s="52"/>
      <c r="E110" s="52"/>
      <c r="F110" s="52"/>
      <c r="G110" s="52"/>
      <c r="H110" s="52"/>
      <c r="I110" s="52"/>
      <c r="J110" s="52"/>
      <c r="K110" s="52"/>
      <c r="L110" s="52"/>
      <c r="M110" s="52"/>
      <c r="N110" s="52"/>
      <c r="O110" s="52"/>
      <c r="P110" s="52"/>
      <c r="Q110" s="52"/>
      <c r="R110" s="52"/>
      <c r="S110" s="54"/>
    </row>
    <row r="111" spans="2:19">
      <c r="B111" s="51"/>
      <c r="C111" s="52"/>
      <c r="D111" s="52"/>
      <c r="E111" s="52"/>
      <c r="F111" s="52"/>
      <c r="G111" s="52"/>
      <c r="H111" s="52"/>
      <c r="I111" s="52"/>
      <c r="J111" s="52"/>
      <c r="K111" s="52"/>
      <c r="L111" s="52"/>
      <c r="M111" s="52"/>
      <c r="N111" s="52"/>
      <c r="O111" s="52"/>
      <c r="P111" s="52"/>
      <c r="Q111" s="52"/>
      <c r="R111" s="52"/>
      <c r="S111" s="54"/>
    </row>
    <row r="112" spans="2:19">
      <c r="B112" s="51"/>
      <c r="C112" s="52"/>
      <c r="D112" s="52"/>
      <c r="E112" s="52"/>
      <c r="F112" s="52"/>
      <c r="G112" s="52"/>
      <c r="H112" s="52"/>
      <c r="I112" s="52"/>
      <c r="J112" s="52"/>
      <c r="K112" s="52"/>
      <c r="L112" s="52"/>
      <c r="M112" s="52"/>
      <c r="N112" s="52"/>
      <c r="O112" s="52"/>
      <c r="P112" s="52"/>
      <c r="Q112" s="52"/>
      <c r="R112" s="52"/>
      <c r="S112" s="54"/>
    </row>
    <row r="113" spans="2:20">
      <c r="B113" s="51"/>
      <c r="C113" s="52"/>
      <c r="D113" s="52"/>
      <c r="E113" s="52"/>
      <c r="F113" s="52"/>
      <c r="G113" s="52"/>
      <c r="H113" s="52"/>
      <c r="I113" s="52"/>
      <c r="J113" s="52"/>
      <c r="K113" s="52"/>
      <c r="L113" s="52"/>
      <c r="M113" s="52"/>
      <c r="N113" s="52"/>
      <c r="O113" s="52"/>
      <c r="P113" s="52"/>
      <c r="Q113" s="52"/>
      <c r="R113" s="52"/>
      <c r="S113" s="54"/>
    </row>
    <row r="114" spans="2:20">
      <c r="B114" s="51"/>
      <c r="C114" s="52"/>
      <c r="D114" s="52"/>
      <c r="E114" s="52"/>
      <c r="F114" s="52"/>
      <c r="G114" s="52"/>
      <c r="H114" s="52"/>
      <c r="I114" s="52"/>
      <c r="J114" s="52"/>
      <c r="K114" s="52"/>
      <c r="L114" s="52"/>
      <c r="M114" s="52"/>
      <c r="N114" s="52"/>
      <c r="O114" s="52"/>
      <c r="P114" s="52"/>
      <c r="Q114" s="52"/>
      <c r="R114" s="52"/>
      <c r="S114" s="54"/>
    </row>
    <row r="115" spans="2:20" ht="15" thickBot="1">
      <c r="B115" s="55"/>
      <c r="C115" s="56"/>
      <c r="D115" s="56"/>
      <c r="E115" s="56"/>
      <c r="F115" s="56"/>
      <c r="G115" s="56"/>
      <c r="H115" s="56"/>
      <c r="I115" s="56"/>
      <c r="J115" s="56"/>
      <c r="K115" s="56"/>
      <c r="L115" s="56"/>
      <c r="M115" s="56"/>
      <c r="N115" s="56"/>
      <c r="O115" s="56"/>
      <c r="P115" s="56"/>
      <c r="Q115" s="56"/>
      <c r="R115" s="56"/>
      <c r="S115" s="57"/>
    </row>
    <row r="116" spans="2:20" ht="15" thickBot="1"/>
    <row r="117" spans="2:20">
      <c r="B117" s="48"/>
      <c r="C117" s="49"/>
      <c r="D117" s="49"/>
      <c r="E117" s="49"/>
      <c r="F117" s="49"/>
      <c r="G117" s="49"/>
      <c r="H117" s="49"/>
      <c r="I117" s="49"/>
      <c r="J117" s="49"/>
      <c r="K117" s="49"/>
      <c r="L117" s="49"/>
      <c r="M117" s="49"/>
      <c r="N117" s="49"/>
      <c r="O117" s="49"/>
      <c r="P117" s="49"/>
      <c r="Q117" s="49"/>
      <c r="R117" s="49"/>
      <c r="S117" s="49"/>
      <c r="T117" s="50"/>
    </row>
    <row r="118" spans="2:20">
      <c r="B118" s="51"/>
      <c r="C118" s="52"/>
      <c r="D118" s="52"/>
      <c r="E118" s="52"/>
      <c r="F118" s="52"/>
      <c r="G118" s="52"/>
      <c r="H118" s="52"/>
      <c r="I118" s="60" t="s">
        <v>104</v>
      </c>
      <c r="J118" s="52"/>
      <c r="K118" s="52"/>
      <c r="L118" s="52"/>
      <c r="M118" s="52"/>
      <c r="N118" s="52"/>
      <c r="O118" s="52"/>
      <c r="P118" s="52"/>
      <c r="Q118" s="52"/>
      <c r="R118" s="52"/>
      <c r="S118" s="52"/>
      <c r="T118" s="54"/>
    </row>
    <row r="119" spans="2:20">
      <c r="B119" s="51"/>
      <c r="C119" s="52"/>
      <c r="D119" s="52"/>
      <c r="E119" s="52"/>
      <c r="F119" s="52"/>
      <c r="G119" s="52"/>
      <c r="H119" s="52"/>
      <c r="I119" s="53"/>
      <c r="J119" s="52"/>
      <c r="K119" s="52"/>
      <c r="L119" s="52"/>
      <c r="M119" s="52"/>
      <c r="N119" s="52"/>
      <c r="O119" s="52"/>
      <c r="P119" s="52"/>
      <c r="Q119" s="52"/>
      <c r="R119" s="52"/>
      <c r="S119" s="52"/>
      <c r="T119" s="54"/>
    </row>
    <row r="120" spans="2:20">
      <c r="B120" s="51"/>
      <c r="C120" s="52"/>
      <c r="D120" s="52"/>
      <c r="E120" s="52"/>
      <c r="F120" s="52"/>
      <c r="G120" s="52"/>
      <c r="H120" s="52"/>
      <c r="I120" s="60" t="s">
        <v>105</v>
      </c>
      <c r="J120" s="52"/>
      <c r="K120" s="52"/>
      <c r="L120" s="52"/>
      <c r="M120" s="52"/>
      <c r="N120" s="52"/>
      <c r="O120" s="52"/>
      <c r="P120" s="52"/>
      <c r="Q120" s="52"/>
      <c r="R120" s="52"/>
      <c r="S120" s="52"/>
      <c r="T120" s="54"/>
    </row>
    <row r="121" spans="2:20">
      <c r="B121" s="51"/>
      <c r="C121" s="52"/>
      <c r="D121" s="52"/>
      <c r="E121" s="52"/>
      <c r="F121" s="52"/>
      <c r="G121" s="52"/>
      <c r="H121" s="52"/>
      <c r="I121" s="53"/>
      <c r="J121" s="52"/>
      <c r="K121" s="52"/>
      <c r="L121" s="52"/>
      <c r="M121" s="52"/>
      <c r="N121" s="52"/>
      <c r="O121" s="52"/>
      <c r="P121" s="52"/>
      <c r="Q121" s="52"/>
      <c r="R121" s="52"/>
      <c r="S121" s="52"/>
      <c r="T121" s="54"/>
    </row>
    <row r="122" spans="2:20">
      <c r="B122" s="51"/>
      <c r="C122" s="52"/>
      <c r="D122" s="52"/>
      <c r="E122" s="52"/>
      <c r="F122" s="52"/>
      <c r="G122" s="52"/>
      <c r="H122" s="52"/>
      <c r="I122" s="60" t="s">
        <v>106</v>
      </c>
      <c r="J122" s="52"/>
      <c r="K122" s="52"/>
      <c r="L122" s="52"/>
      <c r="M122" s="52"/>
      <c r="N122" s="52"/>
      <c r="O122" s="52"/>
      <c r="P122" s="52"/>
      <c r="Q122" s="52"/>
      <c r="R122" s="52"/>
      <c r="S122" s="52"/>
      <c r="T122" s="54"/>
    </row>
    <row r="123" spans="2:20">
      <c r="B123" s="51"/>
      <c r="C123" s="52"/>
      <c r="D123" s="52"/>
      <c r="E123" s="52"/>
      <c r="F123" s="52"/>
      <c r="G123" s="52"/>
      <c r="H123" s="52"/>
      <c r="I123" s="52"/>
      <c r="J123" s="52"/>
      <c r="K123" s="52"/>
      <c r="L123" s="52"/>
      <c r="M123" s="52"/>
      <c r="N123" s="52"/>
      <c r="O123" s="52"/>
      <c r="P123" s="52"/>
      <c r="Q123" s="52"/>
      <c r="R123" s="52"/>
      <c r="S123" s="52"/>
      <c r="T123" s="54"/>
    </row>
    <row r="124" spans="2:20">
      <c r="B124" s="51"/>
      <c r="C124" s="52"/>
      <c r="D124" s="52"/>
      <c r="E124" s="52"/>
      <c r="F124" s="52"/>
      <c r="G124" s="52"/>
      <c r="H124" s="52"/>
      <c r="I124" s="52"/>
      <c r="J124" s="52"/>
      <c r="K124" s="52"/>
      <c r="L124" s="52"/>
      <c r="M124" s="52"/>
      <c r="N124" s="52"/>
      <c r="O124" s="52"/>
      <c r="P124" s="52"/>
      <c r="Q124" s="52"/>
      <c r="R124" s="52"/>
      <c r="S124" s="52"/>
      <c r="T124" s="54"/>
    </row>
    <row r="125" spans="2:20">
      <c r="B125" s="51"/>
      <c r="C125" s="52"/>
      <c r="D125" s="52"/>
      <c r="E125" s="52"/>
      <c r="F125" s="52"/>
      <c r="G125" s="52"/>
      <c r="H125" s="52"/>
      <c r="I125" s="52"/>
      <c r="J125" s="52"/>
      <c r="K125" s="52"/>
      <c r="L125" s="52"/>
      <c r="M125" s="52"/>
      <c r="N125" s="52"/>
      <c r="O125" s="52"/>
      <c r="P125" s="52"/>
      <c r="Q125" s="52"/>
      <c r="R125" s="52"/>
      <c r="S125" s="52"/>
      <c r="T125" s="54"/>
    </row>
    <row r="126" spans="2:20">
      <c r="B126" s="51"/>
      <c r="C126" s="52"/>
      <c r="D126" s="52"/>
      <c r="E126" s="52"/>
      <c r="F126" s="52"/>
      <c r="G126" s="52"/>
      <c r="H126" s="52"/>
      <c r="I126" s="52"/>
      <c r="J126" s="52"/>
      <c r="K126" s="52"/>
      <c r="L126" s="52"/>
      <c r="M126" s="52"/>
      <c r="N126" s="52"/>
      <c r="O126" s="52"/>
      <c r="P126" s="52"/>
      <c r="Q126" s="52"/>
      <c r="R126" s="52"/>
      <c r="S126" s="52"/>
      <c r="T126" s="54"/>
    </row>
    <row r="127" spans="2:20">
      <c r="B127" s="51"/>
      <c r="C127" s="52"/>
      <c r="D127" s="52"/>
      <c r="E127" s="52"/>
      <c r="F127" s="52"/>
      <c r="G127" s="52"/>
      <c r="H127" s="52"/>
      <c r="I127" s="52"/>
      <c r="J127" s="52"/>
      <c r="K127" s="52"/>
      <c r="L127" s="52"/>
      <c r="M127" s="52"/>
      <c r="N127" s="52"/>
      <c r="O127" s="52"/>
      <c r="P127" s="52"/>
      <c r="Q127" s="52"/>
      <c r="R127" s="52"/>
      <c r="S127" s="52"/>
      <c r="T127" s="54"/>
    </row>
    <row r="128" spans="2:20">
      <c r="B128" s="51"/>
      <c r="C128" s="52"/>
      <c r="D128" s="52"/>
      <c r="E128" s="52"/>
      <c r="F128" s="52"/>
      <c r="G128" s="52"/>
      <c r="H128" s="52"/>
      <c r="I128" s="52"/>
      <c r="J128" s="52"/>
      <c r="K128" s="52"/>
      <c r="L128" s="52"/>
      <c r="M128" s="52"/>
      <c r="N128" s="52"/>
      <c r="O128" s="52"/>
      <c r="P128" s="52"/>
      <c r="Q128" s="52"/>
      <c r="R128" s="52"/>
      <c r="S128" s="52"/>
      <c r="T128" s="54"/>
    </row>
    <row r="129" spans="2:21">
      <c r="B129" s="51"/>
      <c r="C129" s="52"/>
      <c r="D129" s="52"/>
      <c r="E129" s="52"/>
      <c r="F129" s="52"/>
      <c r="G129" s="52"/>
      <c r="H129" s="52"/>
      <c r="I129" s="52"/>
      <c r="J129" s="52"/>
      <c r="K129" s="52"/>
      <c r="L129" s="52"/>
      <c r="M129" s="52"/>
      <c r="N129" s="52"/>
      <c r="O129" s="52"/>
      <c r="P129" s="52"/>
      <c r="Q129" s="52"/>
      <c r="R129" s="52"/>
      <c r="S129" s="52"/>
      <c r="T129" s="54"/>
    </row>
    <row r="130" spans="2:21">
      <c r="B130" s="51"/>
      <c r="C130" s="52"/>
      <c r="D130" s="52"/>
      <c r="E130" s="52"/>
      <c r="F130" s="52"/>
      <c r="G130" s="52"/>
      <c r="H130" s="52"/>
      <c r="I130" s="52"/>
      <c r="J130" s="52"/>
      <c r="K130" s="52"/>
      <c r="L130" s="52"/>
      <c r="M130" s="52"/>
      <c r="N130" s="52"/>
      <c r="O130" s="52"/>
      <c r="P130" s="52"/>
      <c r="Q130" s="52"/>
      <c r="R130" s="52"/>
      <c r="S130" s="52"/>
      <c r="T130" s="54"/>
    </row>
    <row r="131" spans="2:21" ht="15" thickBot="1">
      <c r="B131" s="55"/>
      <c r="C131" s="56"/>
      <c r="D131" s="56"/>
      <c r="E131" s="56"/>
      <c r="F131" s="56"/>
      <c r="G131" s="56"/>
      <c r="H131" s="56"/>
      <c r="I131" s="56"/>
      <c r="J131" s="56"/>
      <c r="K131" s="56"/>
      <c r="L131" s="56"/>
      <c r="M131" s="56"/>
      <c r="N131" s="56"/>
      <c r="O131" s="56"/>
      <c r="P131" s="56"/>
      <c r="Q131" s="56"/>
      <c r="R131" s="56"/>
      <c r="S131" s="56"/>
      <c r="T131" s="57"/>
    </row>
    <row r="132" spans="2:21" ht="15" thickBot="1"/>
    <row r="133" spans="2:21">
      <c r="B133" s="48"/>
      <c r="C133" s="49"/>
      <c r="D133" s="49"/>
      <c r="E133" s="49"/>
      <c r="F133" s="49"/>
      <c r="G133" s="49"/>
      <c r="H133" s="49"/>
      <c r="I133" s="49"/>
      <c r="J133" s="49"/>
      <c r="K133" s="49"/>
      <c r="L133" s="49"/>
      <c r="M133" s="49"/>
      <c r="N133" s="49"/>
      <c r="O133" s="49"/>
      <c r="P133" s="49"/>
      <c r="Q133" s="49"/>
      <c r="R133" s="49"/>
      <c r="S133" s="49"/>
      <c r="T133" s="49"/>
      <c r="U133" s="50"/>
    </row>
    <row r="134" spans="2:21">
      <c r="B134" s="51"/>
      <c r="C134" s="52"/>
      <c r="D134" s="52"/>
      <c r="E134" s="52"/>
      <c r="F134" s="52"/>
      <c r="G134" s="52"/>
      <c r="H134" s="52"/>
      <c r="I134" s="61" t="s">
        <v>104</v>
      </c>
      <c r="J134" s="52"/>
      <c r="K134" s="52"/>
      <c r="L134" s="52"/>
      <c r="M134" s="52"/>
      <c r="N134" s="52"/>
      <c r="O134" s="52"/>
      <c r="P134" s="52"/>
      <c r="Q134" s="52"/>
      <c r="R134" s="52"/>
      <c r="S134" s="52"/>
      <c r="T134" s="52"/>
      <c r="U134" s="54"/>
    </row>
    <row r="135" spans="2:21">
      <c r="B135" s="51"/>
      <c r="C135" s="52"/>
      <c r="D135" s="52"/>
      <c r="E135" s="52"/>
      <c r="F135" s="52"/>
      <c r="G135" s="52"/>
      <c r="H135" s="52"/>
      <c r="I135" s="59"/>
      <c r="J135" s="52"/>
      <c r="K135" s="52"/>
      <c r="L135" s="52"/>
      <c r="M135" s="52"/>
      <c r="N135" s="52"/>
      <c r="O135" s="52"/>
      <c r="P135" s="52"/>
      <c r="Q135" s="52"/>
      <c r="R135" s="52"/>
      <c r="S135" s="52"/>
      <c r="T135" s="52"/>
      <c r="U135" s="54"/>
    </row>
    <row r="136" spans="2:21">
      <c r="B136" s="51"/>
      <c r="C136" s="52"/>
      <c r="D136" s="52"/>
      <c r="E136" s="52"/>
      <c r="F136" s="52"/>
      <c r="G136" s="52"/>
      <c r="H136" s="52"/>
      <c r="I136" s="61" t="s">
        <v>105</v>
      </c>
      <c r="J136" s="52"/>
      <c r="K136" s="52"/>
      <c r="L136" s="52"/>
      <c r="M136" s="52"/>
      <c r="N136" s="52"/>
      <c r="O136" s="52"/>
      <c r="P136" s="52"/>
      <c r="Q136" s="52"/>
      <c r="R136" s="52"/>
      <c r="S136" s="52"/>
      <c r="T136" s="52"/>
      <c r="U136" s="54"/>
    </row>
    <row r="137" spans="2:21">
      <c r="B137" s="51"/>
      <c r="C137" s="52"/>
      <c r="D137" s="52"/>
      <c r="E137" s="52"/>
      <c r="F137" s="52"/>
      <c r="G137" s="52"/>
      <c r="H137" s="52"/>
      <c r="I137" s="59"/>
      <c r="J137" s="52"/>
      <c r="K137" s="52"/>
      <c r="L137" s="52"/>
      <c r="M137" s="52"/>
      <c r="N137" s="52"/>
      <c r="O137" s="52"/>
      <c r="P137" s="52"/>
      <c r="Q137" s="52"/>
      <c r="R137" s="52"/>
      <c r="S137" s="52"/>
      <c r="T137" s="52"/>
      <c r="U137" s="54"/>
    </row>
    <row r="138" spans="2:21">
      <c r="B138" s="51"/>
      <c r="C138" s="52"/>
      <c r="D138" s="52"/>
      <c r="E138" s="52"/>
      <c r="F138" s="52"/>
      <c r="G138" s="52"/>
      <c r="H138" s="52"/>
      <c r="I138" s="61" t="s">
        <v>107</v>
      </c>
      <c r="J138" s="52"/>
      <c r="K138" s="52"/>
      <c r="L138" s="52"/>
      <c r="M138" s="52"/>
      <c r="N138" s="52"/>
      <c r="O138" s="52"/>
      <c r="P138" s="52"/>
      <c r="Q138" s="52"/>
      <c r="R138" s="52"/>
      <c r="S138" s="52"/>
      <c r="T138" s="52"/>
      <c r="U138" s="54"/>
    </row>
    <row r="139" spans="2:21">
      <c r="B139" s="51"/>
      <c r="C139" s="52"/>
      <c r="D139" s="52"/>
      <c r="E139" s="52"/>
      <c r="F139" s="52"/>
      <c r="G139" s="52"/>
      <c r="H139" s="52"/>
      <c r="I139" s="52"/>
      <c r="J139" s="52"/>
      <c r="K139" s="52"/>
      <c r="L139" s="52"/>
      <c r="M139" s="52"/>
      <c r="N139" s="52"/>
      <c r="O139" s="52"/>
      <c r="P139" s="52"/>
      <c r="Q139" s="52"/>
      <c r="R139" s="52"/>
      <c r="S139" s="52"/>
      <c r="T139" s="52"/>
      <c r="U139" s="54"/>
    </row>
    <row r="140" spans="2:21">
      <c r="B140" s="51"/>
      <c r="C140" s="52"/>
      <c r="D140" s="52"/>
      <c r="E140" s="52"/>
      <c r="F140" s="52"/>
      <c r="G140" s="52"/>
      <c r="H140" s="52"/>
      <c r="I140" s="52"/>
      <c r="J140" s="52"/>
      <c r="K140" s="52"/>
      <c r="L140" s="52"/>
      <c r="M140" s="52"/>
      <c r="N140" s="52"/>
      <c r="O140" s="52"/>
      <c r="P140" s="52"/>
      <c r="Q140" s="52"/>
      <c r="R140" s="52"/>
      <c r="S140" s="52"/>
      <c r="T140" s="52"/>
      <c r="U140" s="54"/>
    </row>
    <row r="141" spans="2:21">
      <c r="B141" s="51"/>
      <c r="C141" s="52"/>
      <c r="D141" s="52"/>
      <c r="E141" s="52"/>
      <c r="F141" s="52"/>
      <c r="G141" s="52"/>
      <c r="H141" s="52"/>
      <c r="I141" s="52"/>
      <c r="J141" s="52"/>
      <c r="K141" s="52"/>
      <c r="L141" s="52"/>
      <c r="M141" s="52"/>
      <c r="N141" s="52"/>
      <c r="O141" s="52"/>
      <c r="P141" s="52"/>
      <c r="Q141" s="52"/>
      <c r="R141" s="52"/>
      <c r="S141" s="52"/>
      <c r="T141" s="52"/>
      <c r="U141" s="54"/>
    </row>
    <row r="142" spans="2:21">
      <c r="B142" s="51"/>
      <c r="C142" s="52"/>
      <c r="D142" s="52"/>
      <c r="E142" s="52"/>
      <c r="F142" s="52"/>
      <c r="G142" s="52"/>
      <c r="H142" s="52"/>
      <c r="I142" s="52"/>
      <c r="J142" s="52"/>
      <c r="K142" s="52"/>
      <c r="L142" s="52"/>
      <c r="M142" s="52"/>
      <c r="N142" s="52"/>
      <c r="O142" s="52"/>
      <c r="P142" s="52"/>
      <c r="Q142" s="52"/>
      <c r="R142" s="52"/>
      <c r="S142" s="52"/>
      <c r="T142" s="52"/>
      <c r="U142" s="54"/>
    </row>
    <row r="143" spans="2:21">
      <c r="B143" s="51"/>
      <c r="C143" s="52"/>
      <c r="D143" s="52"/>
      <c r="E143" s="52"/>
      <c r="F143" s="52"/>
      <c r="G143" s="52"/>
      <c r="H143" s="52"/>
      <c r="I143" s="52"/>
      <c r="J143" s="52"/>
      <c r="K143" s="52"/>
      <c r="L143" s="52"/>
      <c r="M143" s="52"/>
      <c r="N143" s="52"/>
      <c r="O143" s="52"/>
      <c r="P143" s="52"/>
      <c r="Q143" s="52"/>
      <c r="R143" s="52"/>
      <c r="S143" s="52"/>
      <c r="T143" s="52"/>
      <c r="U143" s="54"/>
    </row>
    <row r="144" spans="2:21">
      <c r="B144" s="51"/>
      <c r="C144" s="52"/>
      <c r="D144" s="52"/>
      <c r="E144" s="52"/>
      <c r="F144" s="52"/>
      <c r="G144" s="52"/>
      <c r="H144" s="52"/>
      <c r="I144" s="52"/>
      <c r="J144" s="52"/>
      <c r="K144" s="52"/>
      <c r="L144" s="52"/>
      <c r="M144" s="52"/>
      <c r="N144" s="52"/>
      <c r="O144" s="52"/>
      <c r="P144" s="52"/>
      <c r="Q144" s="52"/>
      <c r="R144" s="52"/>
      <c r="S144" s="52"/>
      <c r="T144" s="52"/>
      <c r="U144" s="54"/>
    </row>
    <row r="145" spans="2:23">
      <c r="B145" s="51"/>
      <c r="C145" s="52"/>
      <c r="D145" s="52"/>
      <c r="E145" s="52"/>
      <c r="F145" s="52"/>
      <c r="G145" s="52"/>
      <c r="H145" s="52"/>
      <c r="I145" s="52"/>
      <c r="J145" s="52"/>
      <c r="K145" s="52"/>
      <c r="L145" s="52"/>
      <c r="M145" s="52"/>
      <c r="N145" s="52"/>
      <c r="O145" s="52"/>
      <c r="P145" s="52"/>
      <c r="Q145" s="52"/>
      <c r="R145" s="52"/>
      <c r="S145" s="52"/>
      <c r="T145" s="52"/>
      <c r="U145" s="54"/>
    </row>
    <row r="146" spans="2:23">
      <c r="B146" s="51"/>
      <c r="C146" s="52"/>
      <c r="D146" s="52"/>
      <c r="E146" s="52"/>
      <c r="F146" s="52"/>
      <c r="G146" s="52"/>
      <c r="H146" s="52"/>
      <c r="I146" s="52"/>
      <c r="J146" s="52"/>
      <c r="K146" s="52"/>
      <c r="L146" s="52"/>
      <c r="M146" s="52"/>
      <c r="N146" s="52"/>
      <c r="O146" s="52"/>
      <c r="P146" s="52"/>
      <c r="Q146" s="52"/>
      <c r="R146" s="52"/>
      <c r="S146" s="52"/>
      <c r="T146" s="52"/>
      <c r="U146" s="54"/>
    </row>
    <row r="147" spans="2:23">
      <c r="B147" s="51"/>
      <c r="C147" s="52"/>
      <c r="D147" s="52"/>
      <c r="E147" s="52"/>
      <c r="F147" s="52"/>
      <c r="G147" s="52"/>
      <c r="H147" s="52"/>
      <c r="I147" s="52"/>
      <c r="J147" s="52"/>
      <c r="K147" s="52"/>
      <c r="L147" s="52"/>
      <c r="M147" s="52"/>
      <c r="N147" s="52"/>
      <c r="O147" s="52"/>
      <c r="P147" s="52"/>
      <c r="Q147" s="52"/>
      <c r="R147" s="52"/>
      <c r="S147" s="52"/>
      <c r="T147" s="52"/>
      <c r="U147" s="54"/>
    </row>
    <row r="148" spans="2:23" ht="15" thickBot="1">
      <c r="B148" s="55"/>
      <c r="C148" s="56"/>
      <c r="D148" s="56"/>
      <c r="E148" s="56"/>
      <c r="F148" s="56"/>
      <c r="G148" s="56"/>
      <c r="H148" s="56"/>
      <c r="I148" s="56"/>
      <c r="J148" s="56"/>
      <c r="K148" s="56"/>
      <c r="L148" s="56"/>
      <c r="M148" s="56"/>
      <c r="N148" s="56"/>
      <c r="O148" s="56"/>
      <c r="P148" s="56"/>
      <c r="Q148" s="56"/>
      <c r="R148" s="56"/>
      <c r="S148" s="56"/>
      <c r="T148" s="56"/>
      <c r="U148" s="57"/>
    </row>
    <row r="149" spans="2:23" ht="15" thickBot="1"/>
    <row r="150" spans="2:23">
      <c r="B150" s="48"/>
      <c r="C150" s="49"/>
      <c r="D150" s="49"/>
      <c r="E150" s="49"/>
      <c r="F150" s="49"/>
      <c r="G150" s="49"/>
      <c r="H150" s="49"/>
      <c r="I150" s="49"/>
      <c r="J150" s="49"/>
      <c r="K150" s="49"/>
      <c r="L150" s="49"/>
      <c r="M150" s="49"/>
      <c r="N150" s="49"/>
      <c r="O150" s="49"/>
      <c r="P150" s="49"/>
      <c r="Q150" s="49"/>
      <c r="R150" s="49"/>
      <c r="S150" s="49"/>
      <c r="T150" s="49"/>
      <c r="U150" s="49"/>
      <c r="V150" s="49"/>
      <c r="W150" s="50"/>
    </row>
    <row r="151" spans="2:23" ht="23.4">
      <c r="B151" s="51"/>
      <c r="C151" s="52"/>
      <c r="D151" s="52"/>
      <c r="E151" s="52"/>
      <c r="F151" s="52"/>
      <c r="G151" s="52"/>
      <c r="H151" s="52"/>
      <c r="I151" s="52"/>
      <c r="J151" s="62" t="s">
        <v>108</v>
      </c>
      <c r="K151" s="53"/>
      <c r="L151" s="53"/>
      <c r="M151" s="52"/>
      <c r="N151" s="52"/>
      <c r="O151" s="52"/>
      <c r="P151" s="52"/>
      <c r="Q151" s="52"/>
      <c r="R151" s="52"/>
      <c r="S151" s="52"/>
      <c r="T151" s="52"/>
      <c r="U151" s="52"/>
      <c r="V151" s="52"/>
      <c r="W151" s="54"/>
    </row>
    <row r="152" spans="2:23">
      <c r="B152" s="51"/>
      <c r="C152" s="52"/>
      <c r="D152" s="52"/>
      <c r="E152" s="52"/>
      <c r="F152" s="52"/>
      <c r="G152" s="52"/>
      <c r="H152" s="52"/>
      <c r="I152" s="52"/>
      <c r="J152" s="59"/>
      <c r="K152" s="53"/>
      <c r="L152" s="53"/>
      <c r="M152" s="52"/>
      <c r="N152" s="52"/>
      <c r="O152" s="52"/>
      <c r="P152" s="52"/>
      <c r="Q152" s="52"/>
      <c r="R152" s="52"/>
      <c r="S152" s="52"/>
      <c r="T152" s="52"/>
      <c r="U152" s="52"/>
      <c r="V152" s="52"/>
      <c r="W152" s="54"/>
    </row>
    <row r="153" spans="2:23">
      <c r="B153" s="51"/>
      <c r="C153" s="52"/>
      <c r="D153" s="52"/>
      <c r="E153" s="52"/>
      <c r="F153" s="52"/>
      <c r="G153" s="52"/>
      <c r="H153" s="52"/>
      <c r="I153" s="52"/>
      <c r="J153" s="61" t="s">
        <v>109</v>
      </c>
      <c r="K153" s="53"/>
      <c r="L153" s="53"/>
      <c r="M153" s="52"/>
      <c r="N153" s="52"/>
      <c r="O153" s="52"/>
      <c r="P153" s="52"/>
      <c r="Q153" s="52"/>
      <c r="R153" s="52"/>
      <c r="S153" s="52"/>
      <c r="T153" s="52"/>
      <c r="U153" s="52"/>
      <c r="V153" s="52"/>
      <c r="W153" s="54"/>
    </row>
    <row r="154" spans="2:23">
      <c r="B154" s="51"/>
      <c r="C154" s="52"/>
      <c r="D154" s="52"/>
      <c r="E154" s="52"/>
      <c r="F154" s="52"/>
      <c r="G154" s="52"/>
      <c r="H154" s="52"/>
      <c r="I154" s="52"/>
      <c r="J154" s="59"/>
      <c r="K154" s="53"/>
      <c r="L154" s="53"/>
      <c r="M154" s="52"/>
      <c r="N154" s="52"/>
      <c r="O154" s="52"/>
      <c r="P154" s="52"/>
      <c r="Q154" s="52"/>
      <c r="R154" s="52"/>
      <c r="S154" s="52"/>
      <c r="T154" s="52"/>
      <c r="U154" s="52"/>
      <c r="V154" s="52"/>
      <c r="W154" s="54"/>
    </row>
    <row r="155" spans="2:23">
      <c r="B155" s="51"/>
      <c r="C155" s="52"/>
      <c r="D155" s="52"/>
      <c r="E155" s="52"/>
      <c r="F155" s="52"/>
      <c r="G155" s="52"/>
      <c r="H155" s="52"/>
      <c r="I155" s="52"/>
      <c r="J155" s="61" t="s">
        <v>110</v>
      </c>
      <c r="K155" s="53"/>
      <c r="L155" s="53"/>
      <c r="M155" s="52"/>
      <c r="N155" s="52"/>
      <c r="O155" s="52"/>
      <c r="P155" s="52"/>
      <c r="Q155" s="52"/>
      <c r="R155" s="52"/>
      <c r="S155" s="52"/>
      <c r="T155" s="52"/>
      <c r="U155" s="52"/>
      <c r="V155" s="52"/>
      <c r="W155" s="54"/>
    </row>
    <row r="156" spans="2:23">
      <c r="B156" s="51"/>
      <c r="C156" s="52"/>
      <c r="D156" s="52"/>
      <c r="E156" s="52"/>
      <c r="F156" s="52"/>
      <c r="G156" s="52"/>
      <c r="H156" s="52"/>
      <c r="I156" s="52"/>
      <c r="J156" s="59"/>
      <c r="K156" s="53"/>
      <c r="L156" s="53"/>
      <c r="M156" s="52"/>
      <c r="N156" s="52"/>
      <c r="O156" s="52"/>
      <c r="P156" s="52"/>
      <c r="Q156" s="52"/>
      <c r="R156" s="52"/>
      <c r="S156" s="52"/>
      <c r="T156" s="52"/>
      <c r="U156" s="52"/>
      <c r="V156" s="52"/>
      <c r="W156" s="54"/>
    </row>
    <row r="157" spans="2:23">
      <c r="B157" s="51"/>
      <c r="C157" s="52"/>
      <c r="D157" s="52"/>
      <c r="E157" s="52"/>
      <c r="F157" s="52"/>
      <c r="G157" s="52"/>
      <c r="H157" s="52"/>
      <c r="I157" s="52"/>
      <c r="J157" s="61" t="s">
        <v>111</v>
      </c>
      <c r="K157" s="53"/>
      <c r="L157" s="53"/>
      <c r="M157" s="52"/>
      <c r="N157" s="52"/>
      <c r="O157" s="52"/>
      <c r="P157" s="52"/>
      <c r="Q157" s="52"/>
      <c r="R157" s="52"/>
      <c r="S157" s="52"/>
      <c r="T157" s="52"/>
      <c r="U157" s="52"/>
      <c r="V157" s="52"/>
      <c r="W157" s="54"/>
    </row>
    <row r="158" spans="2:23">
      <c r="B158" s="51"/>
      <c r="C158" s="52"/>
      <c r="D158" s="52"/>
      <c r="E158" s="52"/>
      <c r="F158" s="52"/>
      <c r="G158" s="52"/>
      <c r="H158" s="52"/>
      <c r="I158" s="52"/>
      <c r="J158" s="53"/>
      <c r="K158" s="53"/>
      <c r="L158" s="53"/>
      <c r="M158" s="52"/>
      <c r="N158" s="52"/>
      <c r="O158" s="52"/>
      <c r="P158" s="52"/>
      <c r="Q158" s="52"/>
      <c r="R158" s="52"/>
      <c r="S158" s="52"/>
      <c r="T158" s="52"/>
      <c r="U158" s="52"/>
      <c r="V158" s="52"/>
      <c r="W158" s="54"/>
    </row>
    <row r="159" spans="2:23">
      <c r="B159" s="51"/>
      <c r="C159" s="52"/>
      <c r="D159" s="52"/>
      <c r="E159" s="52"/>
      <c r="F159" s="52"/>
      <c r="G159" s="52"/>
      <c r="H159" s="52"/>
      <c r="I159" s="52"/>
      <c r="J159" s="53" t="s">
        <v>112</v>
      </c>
      <c r="K159" s="53"/>
      <c r="L159" s="53"/>
      <c r="M159" s="52"/>
      <c r="N159" s="52"/>
      <c r="O159" s="52"/>
      <c r="P159" s="52"/>
      <c r="Q159" s="52"/>
      <c r="R159" s="52"/>
      <c r="S159" s="52"/>
      <c r="T159" s="52"/>
      <c r="U159" s="52"/>
      <c r="V159" s="52"/>
      <c r="W159" s="54"/>
    </row>
    <row r="160" spans="2:23">
      <c r="B160" s="51"/>
      <c r="C160" s="52"/>
      <c r="D160" s="52"/>
      <c r="E160" s="52"/>
      <c r="F160" s="52"/>
      <c r="G160" s="52"/>
      <c r="H160" s="52"/>
      <c r="I160" s="52"/>
      <c r="J160" s="53"/>
      <c r="K160" s="53"/>
      <c r="L160" s="53"/>
      <c r="M160" s="52"/>
      <c r="N160" s="52"/>
      <c r="O160" s="52"/>
      <c r="P160" s="52"/>
      <c r="Q160" s="52"/>
      <c r="R160" s="52"/>
      <c r="S160" s="52"/>
      <c r="T160" s="52"/>
      <c r="U160" s="52"/>
      <c r="V160" s="52"/>
      <c r="W160" s="54"/>
    </row>
    <row r="161" spans="2:23" ht="23.4">
      <c r="B161" s="51"/>
      <c r="C161" s="52"/>
      <c r="D161" s="52"/>
      <c r="E161" s="52"/>
      <c r="F161" s="52"/>
      <c r="G161" s="52"/>
      <c r="H161" s="52"/>
      <c r="I161" s="52"/>
      <c r="J161" s="62" t="s">
        <v>113</v>
      </c>
      <c r="K161" s="53"/>
      <c r="L161" s="53"/>
      <c r="M161" s="52"/>
      <c r="N161" s="52"/>
      <c r="O161" s="52"/>
      <c r="P161" s="52"/>
      <c r="Q161" s="52"/>
      <c r="R161" s="52"/>
      <c r="S161" s="52"/>
      <c r="T161" s="52"/>
      <c r="U161" s="52"/>
      <c r="V161" s="52"/>
      <c r="W161" s="54"/>
    </row>
    <row r="162" spans="2:23">
      <c r="B162" s="51"/>
      <c r="C162" s="52"/>
      <c r="D162" s="52"/>
      <c r="E162" s="52"/>
      <c r="F162" s="52"/>
      <c r="G162" s="52"/>
      <c r="H162" s="52"/>
      <c r="I162" s="52"/>
      <c r="J162" s="53"/>
      <c r="K162" s="53"/>
      <c r="L162" s="53"/>
      <c r="M162" s="52"/>
      <c r="N162" s="52"/>
      <c r="O162" s="52"/>
      <c r="P162" s="52"/>
      <c r="Q162" s="52"/>
      <c r="R162" s="52"/>
      <c r="S162" s="52"/>
      <c r="T162" s="52"/>
      <c r="U162" s="52"/>
      <c r="V162" s="52"/>
      <c r="W162" s="54"/>
    </row>
    <row r="163" spans="2:23">
      <c r="B163" s="51"/>
      <c r="C163" s="52"/>
      <c r="D163" s="52"/>
      <c r="E163" s="52"/>
      <c r="F163" s="52"/>
      <c r="G163" s="52"/>
      <c r="H163" s="52"/>
      <c r="I163" s="52"/>
      <c r="J163" s="53" t="s">
        <v>114</v>
      </c>
      <c r="K163" s="53"/>
      <c r="L163" s="53"/>
      <c r="M163" s="52"/>
      <c r="N163" s="52"/>
      <c r="O163" s="52"/>
      <c r="P163" s="52"/>
      <c r="Q163" s="52"/>
      <c r="R163" s="52"/>
      <c r="S163" s="52"/>
      <c r="T163" s="52"/>
      <c r="U163" s="52"/>
      <c r="V163" s="52"/>
      <c r="W163" s="54"/>
    </row>
    <row r="164" spans="2:23">
      <c r="B164" s="51"/>
      <c r="C164" s="52"/>
      <c r="D164" s="52"/>
      <c r="E164" s="52"/>
      <c r="F164" s="52"/>
      <c r="G164" s="52"/>
      <c r="H164" s="52"/>
      <c r="I164" s="52"/>
      <c r="J164" s="53"/>
      <c r="K164" s="53"/>
      <c r="L164" s="53"/>
      <c r="M164" s="52"/>
      <c r="N164" s="52"/>
      <c r="O164" s="52"/>
      <c r="P164" s="52"/>
      <c r="Q164" s="52"/>
      <c r="R164" s="52"/>
      <c r="S164" s="52"/>
      <c r="T164" s="52"/>
      <c r="U164" s="52"/>
      <c r="V164" s="52"/>
      <c r="W164" s="54"/>
    </row>
    <row r="165" spans="2:23" ht="28.8">
      <c r="B165" s="51"/>
      <c r="C165" s="52"/>
      <c r="D165" s="52"/>
      <c r="E165" s="52"/>
      <c r="F165" s="52"/>
      <c r="G165" s="52"/>
      <c r="H165" s="52"/>
      <c r="I165" s="52"/>
      <c r="J165" s="63" t="s">
        <v>115</v>
      </c>
      <c r="K165" s="63" t="s">
        <v>116</v>
      </c>
      <c r="L165" s="64" t="s">
        <v>117</v>
      </c>
      <c r="M165" s="64"/>
      <c r="N165" s="64"/>
      <c r="O165" s="64"/>
      <c r="P165" s="64"/>
      <c r="Q165" s="64"/>
      <c r="R165" s="64"/>
      <c r="S165" s="64"/>
      <c r="T165" s="64"/>
      <c r="U165" s="64"/>
      <c r="V165" s="64"/>
      <c r="W165" s="54"/>
    </row>
    <row r="166" spans="2:23" ht="31.2" customHeight="1">
      <c r="B166" s="51"/>
      <c r="C166" s="52"/>
      <c r="D166" s="52"/>
      <c r="E166" s="52"/>
      <c r="F166" s="52"/>
      <c r="G166" s="52"/>
      <c r="H166" s="52"/>
      <c r="I166" s="52"/>
      <c r="J166" s="65" t="s">
        <v>118</v>
      </c>
      <c r="K166" s="66" t="s">
        <v>119</v>
      </c>
      <c r="L166" s="67" t="s">
        <v>120</v>
      </c>
      <c r="M166" s="67"/>
      <c r="N166" s="67"/>
      <c r="O166" s="67"/>
      <c r="P166" s="67"/>
      <c r="Q166" s="67"/>
      <c r="R166" s="67"/>
      <c r="S166" s="67"/>
      <c r="T166" s="67"/>
      <c r="U166" s="67"/>
      <c r="V166" s="67"/>
      <c r="W166" s="54"/>
    </row>
    <row r="167" spans="2:23" ht="40.799999999999997" customHeight="1">
      <c r="B167" s="51"/>
      <c r="C167" s="52"/>
      <c r="D167" s="52"/>
      <c r="E167" s="52"/>
      <c r="F167" s="52"/>
      <c r="G167" s="52"/>
      <c r="H167" s="52"/>
      <c r="I167" s="52"/>
      <c r="J167" s="65" t="s">
        <v>121</v>
      </c>
      <c r="K167" s="66" t="s">
        <v>122</v>
      </c>
      <c r="L167" s="67" t="s">
        <v>123</v>
      </c>
      <c r="M167" s="67"/>
      <c r="N167" s="67"/>
      <c r="O167" s="67"/>
      <c r="P167" s="67"/>
      <c r="Q167" s="67"/>
      <c r="R167" s="67"/>
      <c r="S167" s="67"/>
      <c r="T167" s="67"/>
      <c r="U167" s="67"/>
      <c r="V167" s="67"/>
      <c r="W167" s="54"/>
    </row>
    <row r="168" spans="2:23" ht="49.8" customHeight="1">
      <c r="B168" s="51"/>
      <c r="C168" s="52"/>
      <c r="D168" s="52"/>
      <c r="E168" s="52"/>
      <c r="F168" s="52"/>
      <c r="G168" s="52"/>
      <c r="H168" s="52"/>
      <c r="I168" s="52"/>
      <c r="J168" s="65" t="s">
        <v>124</v>
      </c>
      <c r="K168" s="66" t="s">
        <v>125</v>
      </c>
      <c r="L168" s="67" t="s">
        <v>126</v>
      </c>
      <c r="M168" s="67"/>
      <c r="N168" s="67"/>
      <c r="O168" s="67"/>
      <c r="P168" s="67"/>
      <c r="Q168" s="67"/>
      <c r="R168" s="67"/>
      <c r="S168" s="67"/>
      <c r="T168" s="67"/>
      <c r="U168" s="67"/>
      <c r="V168" s="67"/>
      <c r="W168" s="54"/>
    </row>
    <row r="169" spans="2:23" ht="63" customHeight="1">
      <c r="B169" s="51"/>
      <c r="C169" s="52"/>
      <c r="D169" s="52"/>
      <c r="E169" s="52"/>
      <c r="F169" s="52"/>
      <c r="G169" s="52"/>
      <c r="H169" s="52"/>
      <c r="I169" s="52"/>
      <c r="J169" s="65" t="s">
        <v>127</v>
      </c>
      <c r="K169" s="66" t="s">
        <v>128</v>
      </c>
      <c r="L169" s="67" t="s">
        <v>129</v>
      </c>
      <c r="M169" s="67"/>
      <c r="N169" s="67"/>
      <c r="O169" s="67"/>
      <c r="P169" s="67"/>
      <c r="Q169" s="67"/>
      <c r="R169" s="67"/>
      <c r="S169" s="67"/>
      <c r="T169" s="67"/>
      <c r="U169" s="67"/>
      <c r="V169" s="67"/>
      <c r="W169" s="54"/>
    </row>
    <row r="170" spans="2:23">
      <c r="B170" s="51"/>
      <c r="C170" s="52"/>
      <c r="D170" s="52"/>
      <c r="E170" s="52"/>
      <c r="F170" s="52"/>
      <c r="G170" s="52"/>
      <c r="H170" s="52"/>
      <c r="I170" s="52"/>
      <c r="J170" s="53"/>
      <c r="K170" s="53"/>
      <c r="L170" s="53"/>
      <c r="M170" s="52"/>
      <c r="N170" s="52"/>
      <c r="O170" s="52"/>
      <c r="P170" s="52"/>
      <c r="Q170" s="52"/>
      <c r="R170" s="52"/>
      <c r="S170" s="52"/>
      <c r="T170" s="52"/>
      <c r="U170" s="52"/>
      <c r="V170" s="52"/>
      <c r="W170" s="54"/>
    </row>
    <row r="171" spans="2:23">
      <c r="B171" s="51"/>
      <c r="C171" s="52"/>
      <c r="D171" s="52"/>
      <c r="E171" s="52"/>
      <c r="F171" s="52"/>
      <c r="G171" s="52"/>
      <c r="H171" s="52"/>
      <c r="I171" s="52"/>
      <c r="J171" s="53" t="s">
        <v>136</v>
      </c>
      <c r="K171" s="53"/>
      <c r="L171" s="53"/>
      <c r="M171" s="52"/>
      <c r="N171" s="52"/>
      <c r="O171" s="52"/>
      <c r="P171" s="52"/>
      <c r="Q171" s="52"/>
      <c r="R171" s="52"/>
      <c r="S171" s="52"/>
      <c r="T171" s="52"/>
      <c r="U171" s="52"/>
      <c r="V171" s="52"/>
      <c r="W171" s="54"/>
    </row>
    <row r="172" spans="2:23">
      <c r="B172" s="51"/>
      <c r="C172" s="52"/>
      <c r="D172" s="52"/>
      <c r="E172" s="52"/>
      <c r="F172" s="52"/>
      <c r="G172" s="52"/>
      <c r="H172" s="52"/>
      <c r="I172" s="52"/>
      <c r="J172" s="53"/>
      <c r="K172" s="53"/>
      <c r="L172" s="53"/>
      <c r="M172" s="52"/>
      <c r="N172" s="52"/>
      <c r="O172" s="52"/>
      <c r="P172" s="52"/>
      <c r="Q172" s="52"/>
      <c r="R172" s="52"/>
      <c r="S172" s="52"/>
      <c r="T172" s="52"/>
      <c r="U172" s="52"/>
      <c r="V172" s="52"/>
      <c r="W172" s="54"/>
    </row>
    <row r="173" spans="2:23" ht="23.4">
      <c r="B173" s="51"/>
      <c r="C173" s="52"/>
      <c r="D173" s="52"/>
      <c r="E173" s="52"/>
      <c r="F173" s="52"/>
      <c r="G173" s="52"/>
      <c r="H173" s="52"/>
      <c r="I173" s="52"/>
      <c r="J173" s="62" t="s">
        <v>130</v>
      </c>
      <c r="K173" s="53"/>
      <c r="L173" s="53"/>
      <c r="M173" s="52"/>
      <c r="N173" s="52"/>
      <c r="O173" s="52"/>
      <c r="P173" s="52"/>
      <c r="Q173" s="52"/>
      <c r="R173" s="52"/>
      <c r="S173" s="52"/>
      <c r="T173" s="52"/>
      <c r="U173" s="52"/>
      <c r="V173" s="52"/>
      <c r="W173" s="54"/>
    </row>
    <row r="174" spans="2:23">
      <c r="B174" s="51"/>
      <c r="C174" s="52"/>
      <c r="D174" s="52"/>
      <c r="E174" s="52"/>
      <c r="F174" s="52"/>
      <c r="G174" s="52"/>
      <c r="H174" s="52"/>
      <c r="I174" s="52"/>
      <c r="J174" s="53"/>
      <c r="K174" s="53"/>
      <c r="L174" s="53"/>
      <c r="M174" s="52"/>
      <c r="N174" s="52"/>
      <c r="O174" s="52"/>
      <c r="P174" s="52"/>
      <c r="Q174" s="52"/>
      <c r="R174" s="52"/>
      <c r="S174" s="52"/>
      <c r="T174" s="52"/>
      <c r="U174" s="52"/>
      <c r="V174" s="52"/>
      <c r="W174" s="54"/>
    </row>
    <row r="175" spans="2:23">
      <c r="B175" s="51"/>
      <c r="C175" s="52"/>
      <c r="D175" s="52"/>
      <c r="E175" s="52"/>
      <c r="F175" s="52"/>
      <c r="G175" s="52"/>
      <c r="H175" s="52"/>
      <c r="I175" s="52"/>
      <c r="J175" s="53" t="s">
        <v>131</v>
      </c>
      <c r="K175" s="53"/>
      <c r="L175" s="53"/>
      <c r="M175" s="52"/>
      <c r="N175" s="52"/>
      <c r="O175" s="52"/>
      <c r="P175" s="52"/>
      <c r="Q175" s="52"/>
      <c r="R175" s="52"/>
      <c r="S175" s="52"/>
      <c r="T175" s="52"/>
      <c r="U175" s="52"/>
      <c r="V175" s="52"/>
      <c r="W175" s="54"/>
    </row>
    <row r="176" spans="2:23">
      <c r="B176" s="51"/>
      <c r="C176" s="52"/>
      <c r="D176" s="52"/>
      <c r="E176" s="52"/>
      <c r="F176" s="52"/>
      <c r="G176" s="52"/>
      <c r="H176" s="52"/>
      <c r="I176" s="52"/>
      <c r="J176" s="59"/>
      <c r="K176" s="53"/>
      <c r="L176" s="53"/>
      <c r="M176" s="52"/>
      <c r="N176" s="52"/>
      <c r="O176" s="52"/>
      <c r="P176" s="52"/>
      <c r="Q176" s="52"/>
      <c r="R176" s="52"/>
      <c r="S176" s="52"/>
      <c r="T176" s="52"/>
      <c r="U176" s="52"/>
      <c r="V176" s="52"/>
      <c r="W176" s="54"/>
    </row>
    <row r="177" spans="2:23">
      <c r="B177" s="51"/>
      <c r="C177" s="52"/>
      <c r="D177" s="52"/>
      <c r="E177" s="52"/>
      <c r="F177" s="52"/>
      <c r="G177" s="52"/>
      <c r="H177" s="52"/>
      <c r="I177" s="52"/>
      <c r="J177" s="61" t="s">
        <v>132</v>
      </c>
      <c r="K177" s="53"/>
      <c r="L177" s="53"/>
      <c r="M177" s="52"/>
      <c r="N177" s="52"/>
      <c r="O177" s="52"/>
      <c r="P177" s="52"/>
      <c r="Q177" s="52"/>
      <c r="R177" s="52"/>
      <c r="S177" s="52"/>
      <c r="T177" s="52"/>
      <c r="U177" s="52"/>
      <c r="V177" s="52"/>
      <c r="W177" s="54"/>
    </row>
    <row r="178" spans="2:23">
      <c r="B178" s="51"/>
      <c r="C178" s="52"/>
      <c r="D178" s="52"/>
      <c r="E178" s="52"/>
      <c r="F178" s="52"/>
      <c r="G178" s="52"/>
      <c r="H178" s="52"/>
      <c r="I178" s="52"/>
      <c r="J178" s="59"/>
      <c r="K178" s="53"/>
      <c r="L178" s="53"/>
      <c r="M178" s="52"/>
      <c r="N178" s="52"/>
      <c r="O178" s="52"/>
      <c r="P178" s="52"/>
      <c r="Q178" s="52"/>
      <c r="R178" s="52"/>
      <c r="S178" s="52"/>
      <c r="T178" s="52"/>
      <c r="U178" s="52"/>
      <c r="V178" s="52"/>
      <c r="W178" s="54"/>
    </row>
    <row r="179" spans="2:23">
      <c r="B179" s="51"/>
      <c r="C179" s="52"/>
      <c r="D179" s="52"/>
      <c r="E179" s="52"/>
      <c r="F179" s="52"/>
      <c r="G179" s="52"/>
      <c r="H179" s="52"/>
      <c r="I179" s="52"/>
      <c r="J179" s="61" t="s">
        <v>133</v>
      </c>
      <c r="K179" s="53"/>
      <c r="L179" s="53"/>
      <c r="M179" s="52"/>
      <c r="N179" s="52"/>
      <c r="O179" s="52"/>
      <c r="P179" s="52"/>
      <c r="Q179" s="52"/>
      <c r="R179" s="52"/>
      <c r="S179" s="52"/>
      <c r="T179" s="52"/>
      <c r="U179" s="52"/>
      <c r="V179" s="52"/>
      <c r="W179" s="54"/>
    </row>
    <row r="180" spans="2:23">
      <c r="B180" s="51"/>
      <c r="C180" s="52"/>
      <c r="D180" s="52"/>
      <c r="E180" s="52"/>
      <c r="F180" s="52"/>
      <c r="G180" s="52"/>
      <c r="H180" s="52"/>
      <c r="I180" s="52"/>
      <c r="J180" s="59"/>
      <c r="K180" s="53"/>
      <c r="L180" s="53"/>
      <c r="M180" s="52"/>
      <c r="N180" s="52"/>
      <c r="O180" s="52"/>
      <c r="P180" s="52"/>
      <c r="Q180" s="52"/>
      <c r="R180" s="52"/>
      <c r="S180" s="52"/>
      <c r="T180" s="52"/>
      <c r="U180" s="52"/>
      <c r="V180" s="52"/>
      <c r="W180" s="54"/>
    </row>
    <row r="181" spans="2:23">
      <c r="B181" s="51"/>
      <c r="C181" s="52"/>
      <c r="D181" s="52"/>
      <c r="E181" s="52"/>
      <c r="F181" s="52"/>
      <c r="G181" s="52"/>
      <c r="H181" s="52"/>
      <c r="I181" s="52"/>
      <c r="J181" s="61" t="s">
        <v>134</v>
      </c>
      <c r="K181" s="53"/>
      <c r="L181" s="53"/>
      <c r="M181" s="52"/>
      <c r="N181" s="52"/>
      <c r="O181" s="52"/>
      <c r="P181" s="52"/>
      <c r="Q181" s="52"/>
      <c r="R181" s="52"/>
      <c r="S181" s="52"/>
      <c r="T181" s="52"/>
      <c r="U181" s="52"/>
      <c r="V181" s="52"/>
      <c r="W181" s="54"/>
    </row>
    <row r="182" spans="2:23">
      <c r="B182" s="51"/>
      <c r="C182" s="52"/>
      <c r="D182" s="52"/>
      <c r="E182" s="52"/>
      <c r="F182" s="52"/>
      <c r="G182" s="52"/>
      <c r="H182" s="52"/>
      <c r="I182" s="52"/>
      <c r="J182" s="53"/>
      <c r="K182" s="53"/>
      <c r="L182" s="53"/>
      <c r="M182" s="52"/>
      <c r="N182" s="52"/>
      <c r="O182" s="52"/>
      <c r="P182" s="52"/>
      <c r="Q182" s="52"/>
      <c r="R182" s="52"/>
      <c r="S182" s="52"/>
      <c r="T182" s="52"/>
      <c r="U182" s="52"/>
      <c r="V182" s="52"/>
      <c r="W182" s="54"/>
    </row>
    <row r="183" spans="2:23">
      <c r="B183" s="51"/>
      <c r="C183" s="52"/>
      <c r="D183" s="52"/>
      <c r="E183" s="52"/>
      <c r="F183" s="52"/>
      <c r="G183" s="52"/>
      <c r="H183" s="52"/>
      <c r="I183" s="52"/>
      <c r="J183" s="53" t="s">
        <v>135</v>
      </c>
      <c r="K183" s="53"/>
      <c r="L183" s="53"/>
      <c r="M183" s="52"/>
      <c r="N183" s="52"/>
      <c r="O183" s="52"/>
      <c r="P183" s="52"/>
      <c r="Q183" s="52"/>
      <c r="R183" s="52"/>
      <c r="S183" s="52"/>
      <c r="T183" s="52"/>
      <c r="U183" s="52"/>
      <c r="V183" s="52"/>
      <c r="W183" s="54"/>
    </row>
    <row r="184" spans="2:23" ht="15" thickBot="1">
      <c r="B184" s="55"/>
      <c r="C184" s="56"/>
      <c r="D184" s="56"/>
      <c r="E184" s="56"/>
      <c r="F184" s="56"/>
      <c r="G184" s="56"/>
      <c r="H184" s="56"/>
      <c r="I184" s="56"/>
      <c r="J184" s="56"/>
      <c r="K184" s="56"/>
      <c r="L184" s="56"/>
      <c r="M184" s="56"/>
      <c r="N184" s="56"/>
      <c r="O184" s="56"/>
      <c r="P184" s="56"/>
      <c r="Q184" s="56"/>
      <c r="R184" s="56"/>
      <c r="S184" s="56"/>
      <c r="T184" s="56"/>
      <c r="U184" s="56"/>
      <c r="V184" s="56"/>
      <c r="W184" s="57"/>
    </row>
    <row r="185" spans="2:23" ht="15" thickBot="1"/>
    <row r="186" spans="2:23">
      <c r="B186" s="48"/>
      <c r="C186" s="49"/>
      <c r="D186" s="49"/>
      <c r="E186" s="49"/>
      <c r="F186" s="49"/>
      <c r="G186" s="49"/>
      <c r="H186" s="49"/>
      <c r="I186" s="49"/>
      <c r="J186" s="49"/>
      <c r="K186" s="49"/>
      <c r="L186" s="49"/>
      <c r="M186" s="50"/>
    </row>
    <row r="187" spans="2:23" ht="31.2">
      <c r="B187" s="68" t="s">
        <v>137</v>
      </c>
      <c r="C187" s="53"/>
      <c r="D187" s="53"/>
      <c r="E187" s="52"/>
      <c r="F187" s="52"/>
      <c r="G187" s="52"/>
      <c r="H187" s="52"/>
      <c r="I187" s="52"/>
      <c r="J187" s="52"/>
      <c r="K187" s="52"/>
      <c r="L187" s="52"/>
      <c r="M187" s="54"/>
    </row>
    <row r="188" spans="2:23">
      <c r="B188" s="69"/>
      <c r="C188" s="53"/>
      <c r="D188" s="53"/>
      <c r="E188" s="52"/>
      <c r="F188" s="52"/>
      <c r="G188" s="52"/>
      <c r="H188" s="52"/>
      <c r="I188" s="52"/>
      <c r="J188" s="52"/>
      <c r="K188" s="52"/>
      <c r="L188" s="52"/>
      <c r="M188" s="54"/>
    </row>
    <row r="189" spans="2:23" ht="23.4">
      <c r="B189" s="70" t="s">
        <v>138</v>
      </c>
      <c r="C189" s="53"/>
      <c r="D189" s="53"/>
      <c r="E189" s="52"/>
      <c r="F189" s="52"/>
      <c r="G189" s="52"/>
      <c r="H189" s="52"/>
      <c r="I189" s="52"/>
      <c r="J189" s="52"/>
      <c r="K189" s="52"/>
      <c r="L189" s="52"/>
      <c r="M189" s="54"/>
    </row>
    <row r="190" spans="2:23">
      <c r="B190" s="71"/>
      <c r="C190" s="53"/>
      <c r="D190" s="53"/>
      <c r="E190" s="52"/>
      <c r="F190" s="52"/>
      <c r="G190" s="52"/>
      <c r="H190" s="52"/>
      <c r="I190" s="52"/>
      <c r="J190" s="52"/>
      <c r="K190" s="52"/>
      <c r="L190" s="52"/>
      <c r="M190" s="54"/>
    </row>
    <row r="191" spans="2:23">
      <c r="B191" s="72" t="s">
        <v>139</v>
      </c>
      <c r="C191" s="53"/>
      <c r="D191" s="53"/>
      <c r="E191" s="52"/>
      <c r="F191" s="52"/>
      <c r="G191" s="52"/>
      <c r="H191" s="52"/>
      <c r="I191" s="52"/>
      <c r="J191" s="52"/>
      <c r="K191" s="52"/>
      <c r="L191" s="52"/>
      <c r="M191" s="54"/>
    </row>
    <row r="192" spans="2:23">
      <c r="B192" s="71"/>
      <c r="C192" s="53"/>
      <c r="D192" s="53"/>
      <c r="E192" s="52"/>
      <c r="F192" s="52"/>
      <c r="G192" s="52"/>
      <c r="H192" s="52"/>
      <c r="I192" s="52"/>
      <c r="J192" s="52"/>
      <c r="K192" s="52"/>
      <c r="L192" s="52"/>
      <c r="M192" s="54"/>
    </row>
    <row r="193" spans="2:13">
      <c r="B193" s="71"/>
      <c r="C193" s="53"/>
      <c r="D193" s="53"/>
      <c r="E193" s="52"/>
      <c r="F193" s="52"/>
      <c r="G193" s="52"/>
      <c r="H193" s="52"/>
      <c r="I193" s="52"/>
      <c r="J193" s="52"/>
      <c r="K193" s="52"/>
      <c r="L193" s="52"/>
      <c r="M193" s="54"/>
    </row>
    <row r="194" spans="2:13">
      <c r="B194" s="73"/>
      <c r="C194" s="53"/>
      <c r="D194" s="53"/>
      <c r="E194" s="52"/>
      <c r="F194" s="52"/>
      <c r="G194" s="52"/>
      <c r="H194" s="52"/>
      <c r="I194" s="52"/>
      <c r="J194" s="52"/>
      <c r="K194" s="52"/>
      <c r="L194" s="52"/>
      <c r="M194" s="54"/>
    </row>
    <row r="195" spans="2:13">
      <c r="B195" s="73" t="s">
        <v>140</v>
      </c>
      <c r="C195" s="53"/>
      <c r="D195" s="53"/>
      <c r="E195" s="52"/>
      <c r="F195" s="52"/>
      <c r="G195" s="52"/>
      <c r="H195" s="52"/>
      <c r="I195" s="52"/>
      <c r="J195" s="52"/>
      <c r="K195" s="52"/>
      <c r="L195" s="52"/>
      <c r="M195" s="54"/>
    </row>
    <row r="196" spans="2:13">
      <c r="B196" s="73"/>
      <c r="C196" s="53"/>
      <c r="D196" s="53"/>
      <c r="E196" s="52"/>
      <c r="F196" s="52"/>
      <c r="G196" s="52"/>
      <c r="H196" s="52"/>
      <c r="I196" s="52"/>
      <c r="J196" s="52"/>
      <c r="K196" s="52"/>
      <c r="L196" s="52"/>
      <c r="M196" s="54"/>
    </row>
    <row r="197" spans="2:13">
      <c r="B197" s="73" t="s">
        <v>141</v>
      </c>
      <c r="C197" s="53"/>
      <c r="D197" s="53"/>
      <c r="E197" s="52"/>
      <c r="F197" s="52"/>
      <c r="G197" s="52"/>
      <c r="H197" s="52"/>
      <c r="I197" s="52"/>
      <c r="J197" s="52"/>
      <c r="K197" s="52"/>
      <c r="L197" s="52"/>
      <c r="M197" s="54"/>
    </row>
    <row r="198" spans="2:13">
      <c r="B198" s="69"/>
      <c r="C198" s="53"/>
      <c r="D198" s="53"/>
      <c r="E198" s="52"/>
      <c r="F198" s="52"/>
      <c r="G198" s="52"/>
      <c r="H198" s="52"/>
      <c r="I198" s="52"/>
      <c r="J198" s="52"/>
      <c r="K198" s="52"/>
      <c r="L198" s="52"/>
      <c r="M198" s="54"/>
    </row>
    <row r="199" spans="2:13" ht="23.4">
      <c r="B199" s="70" t="s">
        <v>142</v>
      </c>
      <c r="C199" s="53"/>
      <c r="D199" s="53"/>
      <c r="E199" s="52"/>
      <c r="F199" s="52"/>
      <c r="G199" s="52"/>
      <c r="H199" s="52"/>
      <c r="I199" s="52"/>
      <c r="J199" s="52"/>
      <c r="K199" s="52"/>
      <c r="L199" s="52"/>
      <c r="M199" s="54"/>
    </row>
    <row r="200" spans="2:13">
      <c r="B200" s="69"/>
      <c r="C200" s="53"/>
      <c r="D200" s="53"/>
      <c r="E200" s="52"/>
      <c r="F200" s="52"/>
      <c r="G200" s="52"/>
      <c r="H200" s="52"/>
      <c r="I200" s="52"/>
      <c r="J200" s="52"/>
      <c r="K200" s="52"/>
      <c r="L200" s="52"/>
      <c r="M200" s="54"/>
    </row>
    <row r="201" spans="2:13" ht="43.2">
      <c r="B201" s="74" t="s">
        <v>143</v>
      </c>
      <c r="C201" s="63" t="s">
        <v>144</v>
      </c>
      <c r="D201" s="64" t="s">
        <v>145</v>
      </c>
      <c r="E201" s="64"/>
      <c r="F201" s="64"/>
      <c r="G201" s="64"/>
      <c r="H201" s="64"/>
      <c r="I201" s="64"/>
      <c r="J201" s="64"/>
      <c r="K201" s="64"/>
      <c r="L201" s="52"/>
      <c r="M201" s="54"/>
    </row>
    <row r="202" spans="2:13" ht="71.400000000000006" customHeight="1">
      <c r="B202" s="75" t="s">
        <v>146</v>
      </c>
      <c r="C202" s="66" t="s">
        <v>147</v>
      </c>
      <c r="D202" s="67" t="s">
        <v>148</v>
      </c>
      <c r="E202" s="67"/>
      <c r="F202" s="67"/>
      <c r="G202" s="67"/>
      <c r="H202" s="67"/>
      <c r="I202" s="67"/>
      <c r="J202" s="67"/>
      <c r="K202" s="67"/>
      <c r="L202" s="52"/>
      <c r="M202" s="54"/>
    </row>
    <row r="203" spans="2:13" ht="53.4" customHeight="1">
      <c r="B203" s="75" t="s">
        <v>149</v>
      </c>
      <c r="C203" s="66" t="s">
        <v>150</v>
      </c>
      <c r="D203" s="67" t="s">
        <v>151</v>
      </c>
      <c r="E203" s="67"/>
      <c r="F203" s="67"/>
      <c r="G203" s="67"/>
      <c r="H203" s="67"/>
      <c r="I203" s="67"/>
      <c r="J203" s="67"/>
      <c r="K203" s="67"/>
      <c r="L203" s="52"/>
      <c r="M203" s="54"/>
    </row>
    <row r="204" spans="2:13" ht="61.8" customHeight="1">
      <c r="B204" s="75" t="s">
        <v>58</v>
      </c>
      <c r="C204" s="66" t="s">
        <v>152</v>
      </c>
      <c r="D204" s="67" t="s">
        <v>153</v>
      </c>
      <c r="E204" s="67"/>
      <c r="F204" s="67"/>
      <c r="G204" s="67"/>
      <c r="H204" s="67"/>
      <c r="I204" s="67"/>
      <c r="J204" s="67"/>
      <c r="K204" s="67"/>
      <c r="L204" s="52"/>
      <c r="M204" s="54"/>
    </row>
    <row r="205" spans="2:13" ht="12.6" customHeight="1">
      <c r="B205" s="69"/>
      <c r="C205" s="53"/>
      <c r="D205" s="53"/>
      <c r="E205" s="52"/>
      <c r="F205" s="52"/>
      <c r="G205" s="52"/>
      <c r="H205" s="52"/>
      <c r="I205" s="52"/>
      <c r="J205" s="52"/>
      <c r="K205" s="52"/>
      <c r="L205" s="52"/>
      <c r="M205" s="54"/>
    </row>
    <row r="206" spans="2:13" ht="23.4">
      <c r="B206" s="70" t="s">
        <v>154</v>
      </c>
      <c r="C206" s="53"/>
      <c r="D206" s="53"/>
      <c r="E206" s="52"/>
      <c r="F206" s="52"/>
      <c r="G206" s="52"/>
      <c r="H206" s="52"/>
      <c r="I206" s="52"/>
      <c r="J206" s="52"/>
      <c r="K206" s="52"/>
      <c r="L206" s="52"/>
      <c r="M206" s="54"/>
    </row>
    <row r="207" spans="2:13">
      <c r="B207" s="69"/>
      <c r="C207" s="53"/>
      <c r="D207" s="53"/>
      <c r="E207" s="52"/>
      <c r="F207" s="52"/>
      <c r="G207" s="52"/>
      <c r="H207" s="52"/>
      <c r="I207" s="52"/>
      <c r="J207" s="52"/>
      <c r="K207" s="52"/>
      <c r="L207" s="52"/>
      <c r="M207" s="54"/>
    </row>
    <row r="208" spans="2:13" ht="28.8">
      <c r="B208" s="74" t="s">
        <v>155</v>
      </c>
      <c r="C208" s="63" t="s">
        <v>156</v>
      </c>
      <c r="D208" s="64" t="s">
        <v>157</v>
      </c>
      <c r="E208" s="64"/>
      <c r="F208" s="64"/>
      <c r="G208" s="64"/>
      <c r="H208" s="64"/>
      <c r="I208" s="64"/>
      <c r="J208" s="64"/>
      <c r="K208" s="64"/>
      <c r="L208" s="52"/>
      <c r="M208" s="54"/>
    </row>
    <row r="209" spans="2:13" ht="49.8" customHeight="1">
      <c r="B209" s="75" t="s">
        <v>71</v>
      </c>
      <c r="C209" s="66" t="s">
        <v>158</v>
      </c>
      <c r="D209" s="67" t="s">
        <v>159</v>
      </c>
      <c r="E209" s="67"/>
      <c r="F209" s="67"/>
      <c r="G209" s="67"/>
      <c r="H209" s="67"/>
      <c r="I209" s="67"/>
      <c r="J209" s="67"/>
      <c r="K209" s="67"/>
      <c r="L209" s="52"/>
      <c r="M209" s="54"/>
    </row>
    <row r="210" spans="2:13" ht="47.4" customHeight="1">
      <c r="B210" s="75" t="s">
        <v>73</v>
      </c>
      <c r="C210" s="66" t="s">
        <v>160</v>
      </c>
      <c r="D210" s="67" t="s">
        <v>161</v>
      </c>
      <c r="E210" s="67"/>
      <c r="F210" s="67"/>
      <c r="G210" s="67"/>
      <c r="H210" s="67"/>
      <c r="I210" s="67"/>
      <c r="J210" s="67"/>
      <c r="K210" s="67"/>
      <c r="L210" s="52"/>
      <c r="M210" s="54"/>
    </row>
    <row r="211" spans="2:13" ht="60" customHeight="1">
      <c r="B211" s="75" t="s">
        <v>72</v>
      </c>
      <c r="C211" s="66" t="s">
        <v>162</v>
      </c>
      <c r="D211" s="67" t="s">
        <v>163</v>
      </c>
      <c r="E211" s="67"/>
      <c r="F211" s="67"/>
      <c r="G211" s="67"/>
      <c r="H211" s="67"/>
      <c r="I211" s="67"/>
      <c r="J211" s="67"/>
      <c r="K211" s="67"/>
      <c r="L211" s="52"/>
      <c r="M211" s="54"/>
    </row>
    <row r="212" spans="2:13" ht="65.400000000000006" customHeight="1">
      <c r="B212" s="75" t="s">
        <v>164</v>
      </c>
      <c r="C212" s="66" t="s">
        <v>127</v>
      </c>
      <c r="D212" s="67" t="s">
        <v>165</v>
      </c>
      <c r="E212" s="67"/>
      <c r="F212" s="67"/>
      <c r="G212" s="67"/>
      <c r="H212" s="67"/>
      <c r="I212" s="67"/>
      <c r="J212" s="67"/>
      <c r="K212" s="67"/>
      <c r="L212" s="52"/>
      <c r="M212" s="54"/>
    </row>
    <row r="213" spans="2:13">
      <c r="B213" s="69"/>
      <c r="C213" s="53"/>
      <c r="D213" s="53"/>
      <c r="E213" s="52"/>
      <c r="F213" s="52"/>
      <c r="G213" s="52"/>
      <c r="H213" s="52"/>
      <c r="I213" s="52"/>
      <c r="J213" s="52"/>
      <c r="K213" s="52"/>
      <c r="L213" s="52"/>
      <c r="M213" s="54"/>
    </row>
    <row r="214" spans="2:13" ht="18">
      <c r="B214" s="76" t="s">
        <v>166</v>
      </c>
      <c r="C214" s="53"/>
      <c r="D214" s="53"/>
      <c r="E214" s="52"/>
      <c r="F214" s="52"/>
      <c r="G214" s="52"/>
      <c r="H214" s="52"/>
      <c r="I214" s="52"/>
      <c r="J214" s="52"/>
      <c r="K214" s="52"/>
      <c r="L214" s="52"/>
      <c r="M214" s="54"/>
    </row>
    <row r="215" spans="2:13">
      <c r="B215" s="71"/>
      <c r="C215" s="53"/>
      <c r="D215" s="53"/>
      <c r="E215" s="52"/>
      <c r="F215" s="52"/>
      <c r="G215" s="52"/>
      <c r="H215" s="52"/>
      <c r="I215" s="52"/>
      <c r="J215" s="52"/>
      <c r="K215" s="52"/>
      <c r="L215" s="52"/>
      <c r="M215" s="54"/>
    </row>
    <row r="216" spans="2:13">
      <c r="B216" s="72" t="s">
        <v>167</v>
      </c>
      <c r="C216" s="53"/>
      <c r="D216" s="53"/>
      <c r="E216" s="52"/>
      <c r="F216" s="52"/>
      <c r="G216" s="52"/>
      <c r="H216" s="52"/>
      <c r="I216" s="52"/>
      <c r="J216" s="52"/>
      <c r="K216" s="52"/>
      <c r="L216" s="52"/>
      <c r="M216" s="54"/>
    </row>
    <row r="217" spans="2:13">
      <c r="B217" s="71"/>
      <c r="C217" s="53"/>
      <c r="D217" s="53"/>
      <c r="E217" s="52"/>
      <c r="F217" s="52"/>
      <c r="G217" s="52"/>
      <c r="H217" s="52"/>
      <c r="I217" s="52"/>
      <c r="J217" s="52"/>
      <c r="K217" s="52"/>
      <c r="L217" s="52"/>
      <c r="M217" s="54"/>
    </row>
    <row r="218" spans="2:13">
      <c r="B218" s="72" t="s">
        <v>168</v>
      </c>
      <c r="C218" s="53"/>
      <c r="D218" s="53"/>
      <c r="E218" s="52"/>
      <c r="F218" s="52"/>
      <c r="G218" s="52"/>
      <c r="H218" s="52"/>
      <c r="I218" s="52"/>
      <c r="J218" s="52"/>
      <c r="K218" s="52"/>
      <c r="L218" s="52"/>
      <c r="M218" s="54"/>
    </row>
    <row r="219" spans="2:13">
      <c r="B219" s="71"/>
      <c r="C219" s="53"/>
      <c r="D219" s="53"/>
      <c r="E219" s="52"/>
      <c r="F219" s="52"/>
      <c r="G219" s="52"/>
      <c r="H219" s="52"/>
      <c r="I219" s="52"/>
      <c r="J219" s="52"/>
      <c r="K219" s="52"/>
      <c r="L219" s="52"/>
      <c r="M219" s="54"/>
    </row>
    <row r="220" spans="2:13">
      <c r="B220" s="71" t="s">
        <v>169</v>
      </c>
      <c r="C220" s="53"/>
      <c r="D220" s="53"/>
      <c r="E220" s="52"/>
      <c r="F220" s="52"/>
      <c r="G220" s="52"/>
      <c r="H220" s="52"/>
      <c r="I220" s="52"/>
      <c r="J220" s="52"/>
      <c r="K220" s="52"/>
      <c r="L220" s="52"/>
      <c r="M220" s="54"/>
    </row>
    <row r="221" spans="2:13" ht="15" thickBot="1">
      <c r="B221" s="55"/>
      <c r="C221" s="56"/>
      <c r="D221" s="56"/>
      <c r="E221" s="56"/>
      <c r="F221" s="56"/>
      <c r="G221" s="56"/>
      <c r="H221" s="56"/>
      <c r="I221" s="56"/>
      <c r="J221" s="56"/>
      <c r="K221" s="56"/>
      <c r="L221" s="56"/>
      <c r="M221" s="57"/>
    </row>
  </sheetData>
  <mergeCells count="19">
    <mergeCell ref="D212:K212"/>
    <mergeCell ref="D203:K203"/>
    <mergeCell ref="D204:K204"/>
    <mergeCell ref="D208:K208"/>
    <mergeCell ref="D209:K209"/>
    <mergeCell ref="D210:K210"/>
    <mergeCell ref="D211:K211"/>
    <mergeCell ref="L166:V166"/>
    <mergeCell ref="L167:V167"/>
    <mergeCell ref="L168:V168"/>
    <mergeCell ref="L169:V169"/>
    <mergeCell ref="D201:K201"/>
    <mergeCell ref="D202:K202"/>
    <mergeCell ref="D4:K4"/>
    <mergeCell ref="D5:D6"/>
    <mergeCell ref="E5:K5"/>
    <mergeCell ref="E6:G6"/>
    <mergeCell ref="H6:J6"/>
    <mergeCell ref="L165:V16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Variable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Nadpurohit</dc:creator>
  <cp:lastModifiedBy>Rajan Nadpurohit</cp:lastModifiedBy>
  <dcterms:created xsi:type="dcterms:W3CDTF">2026-03-30T16:36:41Z</dcterms:created>
  <dcterms:modified xsi:type="dcterms:W3CDTF">2026-04-03T01:39:09Z</dcterms:modified>
</cp:coreProperties>
</file>